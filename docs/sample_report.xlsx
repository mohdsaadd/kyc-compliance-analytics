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ses" sheetId="2" state="visible" r:id="rId4"/>
    <sheet name="SQL_Turnaround_by_Doc" sheetId="3" state="visible" r:id="rId5"/>
    <sheet name="SQL_Analyst_Performance" sheetId="4" state="visible" r:id="rId6"/>
    <sheet name="SQL_Monthly_Trend" sheetId="5" state="visible" r:id="rId7"/>
    <sheet name="Overdue_Cases" sheetId="6" state="visible" r:id="rId8"/>
    <sheet name="Data_Issu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<sst xmlns="http://schemas.openxmlformats.org/spreadsheetml/2006/main" count="3756" uniqueCount="777">
  <si>
    <t xml:space="preserve">KYC Compliance Report</t>
  </si>
  <si>
    <t xml:space="preserve">Assumptions (edit the yellow cells)</t>
  </si>
  <si>
    <t xml:space="preserve">As-of date</t>
  </si>
  <si>
    <t xml:space="preserve">SLA (days)</t>
  </si>
  <si>
    <t xml:space="preserve">Key metrics</t>
  </si>
  <si>
    <t xml:space="preserve">Total cases</t>
  </si>
  <si>
    <t xml:space="preserve">Pending</t>
  </si>
  <si>
    <t xml:space="preserve">Approved</t>
  </si>
  <si>
    <t xml:space="preserve">Rejected</t>
  </si>
  <si>
    <t xml:space="preserve">Approval rate (of decided cases)</t>
  </si>
  <si>
    <t xml:space="preserve">Average turnaround (days)</t>
  </si>
  <si>
    <t xml:space="preserve">Overdue pending cases</t>
  </si>
  <si>
    <t xml:space="preserve">Cases by risk level and status</t>
  </si>
  <si>
    <t xml:space="preserve">Risk level</t>
  </si>
  <si>
    <t xml:space="preserve">Total</t>
  </si>
  <si>
    <t xml:space="preserve">Low</t>
  </si>
  <si>
    <t xml:space="preserve">Medium</t>
  </si>
  <si>
    <t xml:space="preserve">High</t>
  </si>
  <si>
    <t xml:space="preserve">Notes</t>
  </si>
  <si>
    <t xml:space="preserve">Source: cleaned KYC case data (Cases sheet); SQL-based analysis is on the SQL_* sheets.</t>
  </si>
  <si>
    <t xml:space="preserve">Overdue = Pending case submitted more than SLA days before the as-of date.</t>
  </si>
  <si>
    <t xml:space="preserve">As-of date and SLA are inputs (blue text, yellow fill); every metric above recalculates from them.</t>
  </si>
  <si>
    <t xml:space="preserve">Data_Issues lists the raw rows removed during cleaning and the reason.</t>
  </si>
  <si>
    <t xml:space="preserve">case_id</t>
  </si>
  <si>
    <t xml:space="preserve">customer_name</t>
  </si>
  <si>
    <t xml:space="preserve">document_type</t>
  </si>
  <si>
    <t xml:space="preserve">region</t>
  </si>
  <si>
    <t xml:space="preserve">risk_level</t>
  </si>
  <si>
    <t xml:space="preserve">status</t>
  </si>
  <si>
    <t xml:space="preserve">analyst</t>
  </si>
  <si>
    <t xml:space="preserve">submitted_date</t>
  </si>
  <si>
    <t xml:space="preserve">completed_date</t>
  </si>
  <si>
    <t xml:space="preserve">turnaround_days</t>
  </si>
  <si>
    <t xml:space="preserve">KYC-00305</t>
  </si>
  <si>
    <t xml:space="preserve">Vivaan Verma</t>
  </si>
  <si>
    <t xml:space="preserve">Driving Licence</t>
  </si>
  <si>
    <t xml:space="preserve">East</t>
  </si>
  <si>
    <t xml:space="preserve">Analyst A</t>
  </si>
  <si>
    <t xml:space="preserve">KYC-00500</t>
  </si>
  <si>
    <t xml:space="preserve">Vivaan Khan</t>
  </si>
  <si>
    <t xml:space="preserve">Passport</t>
  </si>
  <si>
    <t xml:space="preserve">South</t>
  </si>
  <si>
    <t xml:space="preserve">Analyst D</t>
  </si>
  <si>
    <t xml:space="preserve">KYC-00442</t>
  </si>
  <si>
    <t xml:space="preserve">Vivaan Nair</t>
  </si>
  <si>
    <t xml:space="preserve">PAN Card</t>
  </si>
  <si>
    <t xml:space="preserve">KYC-00154</t>
  </si>
  <si>
    <t xml:space="preserve">Aditya Verma</t>
  </si>
  <si>
    <t xml:space="preserve">West</t>
  </si>
  <si>
    <t xml:space="preserve">Analyst B</t>
  </si>
  <si>
    <t xml:space="preserve">KYC-00074</t>
  </si>
  <si>
    <t xml:space="preserve">Kabir Singh</t>
  </si>
  <si>
    <t xml:space="preserve">KYC-00132</t>
  </si>
  <si>
    <t xml:space="preserve">Imran Ansari</t>
  </si>
  <si>
    <t xml:space="preserve">Address Proof</t>
  </si>
  <si>
    <t xml:space="preserve">Analyst C</t>
  </si>
  <si>
    <t xml:space="preserve">KYC-00205</t>
  </si>
  <si>
    <t xml:space="preserve">Arjun Singh</t>
  </si>
  <si>
    <t xml:space="preserve">Aadhaar</t>
  </si>
  <si>
    <t xml:space="preserve">KYC-00010</t>
  </si>
  <si>
    <t xml:space="preserve">Aditya Mehta</t>
  </si>
  <si>
    <t xml:space="preserve">KYC-00326</t>
  </si>
  <si>
    <t xml:space="preserve">Arjun Joshi</t>
  </si>
  <si>
    <t xml:space="preserve">KYC-00248</t>
  </si>
  <si>
    <t xml:space="preserve">KYC-00466</t>
  </si>
  <si>
    <t xml:space="preserve">Ayesha Mehta</t>
  </si>
  <si>
    <t xml:space="preserve">KYC-00354</t>
  </si>
  <si>
    <t xml:space="preserve">Rohan Iyer</t>
  </si>
  <si>
    <t xml:space="preserve">North</t>
  </si>
  <si>
    <t xml:space="preserve">KYC-00290</t>
  </si>
  <si>
    <t xml:space="preserve">Ishaan Joshi</t>
  </si>
  <si>
    <t xml:space="preserve">KYC-00085</t>
  </si>
  <si>
    <t xml:space="preserve">Aditya Malik</t>
  </si>
  <si>
    <t xml:space="preserve">KYC-00011</t>
  </si>
  <si>
    <t xml:space="preserve">Meera Joshi</t>
  </si>
  <si>
    <t xml:space="preserve">KYC-00325</t>
  </si>
  <si>
    <t xml:space="preserve">Sana Mehta</t>
  </si>
  <si>
    <t xml:space="preserve">KYC-00079</t>
  </si>
  <si>
    <t xml:space="preserve">Ishaan Malik</t>
  </si>
  <si>
    <t xml:space="preserve">KYC-00031</t>
  </si>
  <si>
    <t xml:space="preserve">Vivaan Ansari</t>
  </si>
  <si>
    <t xml:space="preserve">KYC-00185</t>
  </si>
  <si>
    <t xml:space="preserve">Zara Nair</t>
  </si>
  <si>
    <t xml:space="preserve">KYC-00196</t>
  </si>
  <si>
    <t xml:space="preserve">Ishaan Nair</t>
  </si>
  <si>
    <t xml:space="preserve">KYC-00223</t>
  </si>
  <si>
    <t xml:space="preserve">Tanvi Ansari</t>
  </si>
  <si>
    <t xml:space="preserve">KYC-00210</t>
  </si>
  <si>
    <t xml:space="preserve">Riya Khan</t>
  </si>
  <si>
    <t xml:space="preserve">KYC-00282</t>
  </si>
  <si>
    <t xml:space="preserve">Riya Sharma</t>
  </si>
  <si>
    <t xml:space="preserve">KYC-00209</t>
  </si>
  <si>
    <t xml:space="preserve">Arjun Sharma</t>
  </si>
  <si>
    <t xml:space="preserve">KYC-00125</t>
  </si>
  <si>
    <t xml:space="preserve">Ayesha Ansari</t>
  </si>
  <si>
    <t xml:space="preserve">KYC-00251</t>
  </si>
  <si>
    <t xml:space="preserve">Imran Khan</t>
  </si>
  <si>
    <t xml:space="preserve">KYC-00077</t>
  </si>
  <si>
    <t xml:space="preserve">Ayesha Khan</t>
  </si>
  <si>
    <t xml:space="preserve">KYC-00383</t>
  </si>
  <si>
    <t xml:space="preserve">KYC-00343</t>
  </si>
  <si>
    <t xml:space="preserve">KYC-00324</t>
  </si>
  <si>
    <t xml:space="preserve">Fatima Sharma</t>
  </si>
  <si>
    <t xml:space="preserve">KYC-00245</t>
  </si>
  <si>
    <t xml:space="preserve">Neha Reddy</t>
  </si>
  <si>
    <t xml:space="preserve">KYC-00332</t>
  </si>
  <si>
    <t xml:space="preserve">Aditya Khan</t>
  </si>
  <si>
    <t xml:space="preserve">KYC-00141</t>
  </si>
  <si>
    <t xml:space="preserve">Riya Verma</t>
  </si>
  <si>
    <t xml:space="preserve">KYC-00073</t>
  </si>
  <si>
    <t xml:space="preserve">Neha Iyer</t>
  </si>
  <si>
    <t xml:space="preserve">KYC-00401</t>
  </si>
  <si>
    <t xml:space="preserve">Meera Nair</t>
  </si>
  <si>
    <t xml:space="preserve">KYC-00488</t>
  </si>
  <si>
    <t xml:space="preserve">Kabir Nair</t>
  </si>
  <si>
    <t xml:space="preserve">KYC-00226</t>
  </si>
  <si>
    <t xml:space="preserve">KYC-00178</t>
  </si>
  <si>
    <t xml:space="preserve">Riya Mehta</t>
  </si>
  <si>
    <t xml:space="preserve">KYC-00404</t>
  </si>
  <si>
    <t xml:space="preserve">Meera Verma</t>
  </si>
  <si>
    <t xml:space="preserve">KYC-00069</t>
  </si>
  <si>
    <t xml:space="preserve">Zara Reddy</t>
  </si>
  <si>
    <t xml:space="preserve">KYC-00156</t>
  </si>
  <si>
    <t xml:space="preserve">Zara Khan</t>
  </si>
  <si>
    <t xml:space="preserve">KYC-00056</t>
  </si>
  <si>
    <t xml:space="preserve">Meera Malik</t>
  </si>
  <si>
    <t xml:space="preserve">KYC-00406</t>
  </si>
  <si>
    <t xml:space="preserve">KYC-00299</t>
  </si>
  <si>
    <t xml:space="preserve">Ishaan Singh</t>
  </si>
  <si>
    <t xml:space="preserve">KYC-00078</t>
  </si>
  <si>
    <t xml:space="preserve">Imran Verma</t>
  </si>
  <si>
    <t xml:space="preserve">KYC-00469</t>
  </si>
  <si>
    <t xml:space="preserve">KYC-00318</t>
  </si>
  <si>
    <t xml:space="preserve">Imran Joshi</t>
  </si>
  <si>
    <t xml:space="preserve">KYC-00476</t>
  </si>
  <si>
    <t xml:space="preserve">Riya Nair</t>
  </si>
  <si>
    <t xml:space="preserve">KYC-00091</t>
  </si>
  <si>
    <t xml:space="preserve">Fatima Iyer</t>
  </si>
  <si>
    <t xml:space="preserve">KYC-00239</t>
  </si>
  <si>
    <t xml:space="preserve">Imran Mehta</t>
  </si>
  <si>
    <t xml:space="preserve">KYC-00486</t>
  </si>
  <si>
    <t xml:space="preserve">Imran Reddy</t>
  </si>
  <si>
    <t xml:space="preserve">KYC-00064</t>
  </si>
  <si>
    <t xml:space="preserve">KYC-00071</t>
  </si>
  <si>
    <t xml:space="preserve">Tanvi Singh</t>
  </si>
  <si>
    <t xml:space="preserve">KYC-00003</t>
  </si>
  <si>
    <t xml:space="preserve">Rohan Khan</t>
  </si>
  <si>
    <t xml:space="preserve">KYC-00288</t>
  </si>
  <si>
    <t xml:space="preserve">KYC-00342</t>
  </si>
  <si>
    <t xml:space="preserve">Aarav Khan</t>
  </si>
  <si>
    <t xml:space="preserve">KYC-00138</t>
  </si>
  <si>
    <t xml:space="preserve">Fatima Gupta</t>
  </si>
  <si>
    <t xml:space="preserve">KYC-00250</t>
  </si>
  <si>
    <t xml:space="preserve">KYC-00195</t>
  </si>
  <si>
    <t xml:space="preserve">Vivaan Gupta</t>
  </si>
  <si>
    <t xml:space="preserve">KYC-00173</t>
  </si>
  <si>
    <t xml:space="preserve">Fatima Joshi</t>
  </si>
  <si>
    <t xml:space="preserve">KYC-00083</t>
  </si>
  <si>
    <t xml:space="preserve">KYC-00454</t>
  </si>
  <si>
    <t xml:space="preserve">Ayesha Reddy</t>
  </si>
  <si>
    <t xml:space="preserve">KYC-00319</t>
  </si>
  <si>
    <t xml:space="preserve">Riya Joshi</t>
  </si>
  <si>
    <t xml:space="preserve">KYC-00034</t>
  </si>
  <si>
    <t xml:space="preserve">Ishaan Gupta</t>
  </si>
  <si>
    <t xml:space="preserve">KYC-00427</t>
  </si>
  <si>
    <t xml:space="preserve">Ishaan Khan</t>
  </si>
  <si>
    <t xml:space="preserve">KYC-00228</t>
  </si>
  <si>
    <t xml:space="preserve">KYC-00001</t>
  </si>
  <si>
    <t xml:space="preserve">Ishaan Verma</t>
  </si>
  <si>
    <t xml:space="preserve">KYC-00012</t>
  </si>
  <si>
    <t xml:space="preserve">Riya Iyer</t>
  </si>
  <si>
    <t xml:space="preserve">KYC-00238</t>
  </si>
  <si>
    <t xml:space="preserve">Rohan Reddy</t>
  </si>
  <si>
    <t xml:space="preserve">KYC-00023</t>
  </si>
  <si>
    <t xml:space="preserve">KYC-00105</t>
  </si>
  <si>
    <t xml:space="preserve">Rohan Mehta</t>
  </si>
  <si>
    <t xml:space="preserve">KYC-00297</t>
  </si>
  <si>
    <t xml:space="preserve">Sana Sharma</t>
  </si>
  <si>
    <t xml:space="preserve">KYC-00102</t>
  </si>
  <si>
    <t xml:space="preserve">KYC-00080</t>
  </si>
  <si>
    <t xml:space="preserve">KYC-00430</t>
  </si>
  <si>
    <t xml:space="preserve">Kabir Reddy</t>
  </si>
  <si>
    <t xml:space="preserve">KYC-00432</t>
  </si>
  <si>
    <t xml:space="preserve">Riya Singh</t>
  </si>
  <si>
    <t xml:space="preserve">KYC-00019</t>
  </si>
  <si>
    <t xml:space="preserve">KYC-00177</t>
  </si>
  <si>
    <t xml:space="preserve">Ishaan Sharma</t>
  </si>
  <si>
    <t xml:space="preserve">KYC-00232</t>
  </si>
  <si>
    <t xml:space="preserve">Aarav Ansari</t>
  </si>
  <si>
    <t xml:space="preserve">KYC-00378</t>
  </si>
  <si>
    <t xml:space="preserve">Kabir Iyer</t>
  </si>
  <si>
    <t xml:space="preserve">KYC-00133</t>
  </si>
  <si>
    <t xml:space="preserve">Ishaan Reddy</t>
  </si>
  <si>
    <t xml:space="preserve">KYC-00040</t>
  </si>
  <si>
    <t xml:space="preserve">Imran Nair</t>
  </si>
  <si>
    <t xml:space="preserve">KYC-00465</t>
  </si>
  <si>
    <t xml:space="preserve">KYC-00047</t>
  </si>
  <si>
    <t xml:space="preserve">Aarav Malik</t>
  </si>
  <si>
    <t xml:space="preserve">KYC-00358</t>
  </si>
  <si>
    <t xml:space="preserve">KYC-00278</t>
  </si>
  <si>
    <t xml:space="preserve">KYC-00363</t>
  </si>
  <si>
    <t xml:space="preserve">KYC-00094</t>
  </si>
  <si>
    <t xml:space="preserve">Aditya Joshi</t>
  </si>
  <si>
    <t xml:space="preserve">KYC-00447</t>
  </si>
  <si>
    <t xml:space="preserve">Aarav Iyer</t>
  </si>
  <si>
    <t xml:space="preserve">KYC-00204</t>
  </si>
  <si>
    <t xml:space="preserve">Kabir Ansari</t>
  </si>
  <si>
    <t xml:space="preserve">KYC-00451</t>
  </si>
  <si>
    <t xml:space="preserve">KYC-00149</t>
  </si>
  <si>
    <t xml:space="preserve">Riya Reddy</t>
  </si>
  <si>
    <t xml:space="preserve">KYC-00221</t>
  </si>
  <si>
    <t xml:space="preserve">KYC-00254</t>
  </si>
  <si>
    <t xml:space="preserve">Kabir Joshi</t>
  </si>
  <si>
    <t xml:space="preserve">KYC-00168</t>
  </si>
  <si>
    <t xml:space="preserve">Rohan Verma</t>
  </si>
  <si>
    <t xml:space="preserve">KYC-00276</t>
  </si>
  <si>
    <t xml:space="preserve">Tanvi Iyer</t>
  </si>
  <si>
    <t xml:space="preserve">KYC-00321</t>
  </si>
  <si>
    <t xml:space="preserve">KYC-00330</t>
  </si>
  <si>
    <t xml:space="preserve">Sana Iyer</t>
  </si>
  <si>
    <t xml:space="preserve">KYC-00174</t>
  </si>
  <si>
    <t xml:space="preserve">Zara Singh</t>
  </si>
  <si>
    <t xml:space="preserve">KYC-00273</t>
  </si>
  <si>
    <t xml:space="preserve">Tanvi Reddy</t>
  </si>
  <si>
    <t xml:space="preserve">KYC-00496</t>
  </si>
  <si>
    <t xml:space="preserve">KYC-00183</t>
  </si>
  <si>
    <t xml:space="preserve">KYC-00269</t>
  </si>
  <si>
    <t xml:space="preserve">KYC-00353</t>
  </si>
  <si>
    <t xml:space="preserve">Sana Malik</t>
  </si>
  <si>
    <t xml:space="preserve">KYC-00118</t>
  </si>
  <si>
    <t xml:space="preserve">Fatima Nair</t>
  </si>
  <si>
    <t xml:space="preserve">KYC-00333</t>
  </si>
  <si>
    <t xml:space="preserve">KYC-00456</t>
  </si>
  <si>
    <t xml:space="preserve">Fatima Malik</t>
  </si>
  <si>
    <t xml:space="preserve">KYC-00445</t>
  </si>
  <si>
    <t xml:space="preserve">KYC-00357</t>
  </si>
  <si>
    <t xml:space="preserve">KYC-00087</t>
  </si>
  <si>
    <t xml:space="preserve">Zara Gupta</t>
  </si>
  <si>
    <t xml:space="preserve">KYC-00439</t>
  </si>
  <si>
    <t xml:space="preserve">Aditya Sharma</t>
  </si>
  <si>
    <t xml:space="preserve">KYC-00076</t>
  </si>
  <si>
    <t xml:space="preserve">KYC-00452</t>
  </si>
  <si>
    <t xml:space="preserve">KYC-00016</t>
  </si>
  <si>
    <t xml:space="preserve">Aditya Ansari</t>
  </si>
  <si>
    <t xml:space="preserve">KYC-00211</t>
  </si>
  <si>
    <t xml:space="preserve">Tanvi Malik</t>
  </si>
  <si>
    <t xml:space="preserve">KYC-00181</t>
  </si>
  <si>
    <t xml:space="preserve">Ayesha Iyer</t>
  </si>
  <si>
    <t xml:space="preserve">KYC-00398</t>
  </si>
  <si>
    <t xml:space="preserve">KYC-00020</t>
  </si>
  <si>
    <t xml:space="preserve">Aditya Reddy</t>
  </si>
  <si>
    <t xml:space="preserve">KYC-00341</t>
  </si>
  <si>
    <t xml:space="preserve">Tanvi Khan</t>
  </si>
  <si>
    <t xml:space="preserve">KYC-00057</t>
  </si>
  <si>
    <t xml:space="preserve">Tanvi Gupta</t>
  </si>
  <si>
    <t xml:space="preserve">KYC-00279</t>
  </si>
  <si>
    <t xml:space="preserve">Imran Sharma</t>
  </si>
  <si>
    <t xml:space="preserve">KYC-00468</t>
  </si>
  <si>
    <t xml:space="preserve">KYC-00155</t>
  </si>
  <si>
    <t xml:space="preserve">KYC-00026</t>
  </si>
  <si>
    <t xml:space="preserve">Fatima Khan</t>
  </si>
  <si>
    <t xml:space="preserve">KYC-00266</t>
  </si>
  <si>
    <t xml:space="preserve">KYC-00043</t>
  </si>
  <si>
    <t xml:space="preserve">Tanvi Sharma</t>
  </si>
  <si>
    <t xml:space="preserve">KYC-00313</t>
  </si>
  <si>
    <t xml:space="preserve">Aarav Gupta</t>
  </si>
  <si>
    <t xml:space="preserve">KYC-00413</t>
  </si>
  <si>
    <t xml:space="preserve">Meera Ansari</t>
  </si>
  <si>
    <t xml:space="preserve">KYC-00457</t>
  </si>
  <si>
    <t xml:space="preserve">KYC-00127</t>
  </si>
  <si>
    <t xml:space="preserve">Zara Verma</t>
  </si>
  <si>
    <t xml:space="preserve">KYC-00335</t>
  </si>
  <si>
    <t xml:space="preserve">KYC-00032</t>
  </si>
  <si>
    <t xml:space="preserve">KYC-00114</t>
  </si>
  <si>
    <t xml:space="preserve">KYC-00256</t>
  </si>
  <si>
    <t xml:space="preserve">KYC-00219</t>
  </si>
  <si>
    <t xml:space="preserve">Arjun Khan</t>
  </si>
  <si>
    <t xml:space="preserve">KYC-00417</t>
  </si>
  <si>
    <t xml:space="preserve">KYC-00058</t>
  </si>
  <si>
    <t xml:space="preserve">Rohan Singh</t>
  </si>
  <si>
    <t xml:space="preserve">KYC-00397</t>
  </si>
  <si>
    <t xml:space="preserve">KYC-00025</t>
  </si>
  <si>
    <t xml:space="preserve">KYC-00193</t>
  </si>
  <si>
    <t xml:space="preserve">KYC-00067</t>
  </si>
  <si>
    <t xml:space="preserve">Imran Singh</t>
  </si>
  <si>
    <t xml:space="preserve">KYC-00287</t>
  </si>
  <si>
    <t xml:space="preserve">KYC-00423</t>
  </si>
  <si>
    <t xml:space="preserve">Zara Malik</t>
  </si>
  <si>
    <t xml:space="preserve">KYC-00095</t>
  </si>
  <si>
    <t xml:space="preserve">KYC-00312</t>
  </si>
  <si>
    <t xml:space="preserve">KYC-00024</t>
  </si>
  <si>
    <t xml:space="preserve">KYC-00272</t>
  </si>
  <si>
    <t xml:space="preserve">KYC-00300</t>
  </si>
  <si>
    <t xml:space="preserve">KYC-00374</t>
  </si>
  <si>
    <t xml:space="preserve">KYC-00006</t>
  </si>
  <si>
    <t xml:space="preserve">KYC-00117</t>
  </si>
  <si>
    <t xml:space="preserve">KYC-00046</t>
  </si>
  <si>
    <t xml:space="preserve">Kabir Khan</t>
  </si>
  <si>
    <t xml:space="preserve">KYC-00186</t>
  </si>
  <si>
    <t xml:space="preserve">Fatima Mehta</t>
  </si>
  <si>
    <t xml:space="preserve">KYC-00017</t>
  </si>
  <si>
    <t xml:space="preserve">KYC-00478</t>
  </si>
  <si>
    <t xml:space="preserve">KYC-00368</t>
  </si>
  <si>
    <t xml:space="preserve">Aditya Singh</t>
  </si>
  <si>
    <t xml:space="preserve">KYC-00004</t>
  </si>
  <si>
    <t xml:space="preserve">Neha Khan</t>
  </si>
  <si>
    <t xml:space="preserve">KYC-00235</t>
  </si>
  <si>
    <t xml:space="preserve">Imran Iyer</t>
  </si>
  <si>
    <t xml:space="preserve">KYC-00385</t>
  </si>
  <si>
    <t xml:space="preserve">Aditya Gupta</t>
  </si>
  <si>
    <t xml:space="preserve">KYC-00061</t>
  </si>
  <si>
    <t xml:space="preserve">KYC-00111</t>
  </si>
  <si>
    <t xml:space="preserve">KYC-00410</t>
  </si>
  <si>
    <t xml:space="preserve">Ayesha Malik</t>
  </si>
  <si>
    <t xml:space="preserve">KYC-00421</t>
  </si>
  <si>
    <t xml:space="preserve">Arjun Iyer</t>
  </si>
  <si>
    <t xml:space="preserve">KYC-00030</t>
  </si>
  <si>
    <t xml:space="preserve">KYC-00275</t>
  </si>
  <si>
    <t xml:space="preserve">Ishaan Ansari</t>
  </si>
  <si>
    <t xml:space="preserve">KYC-00303</t>
  </si>
  <si>
    <t xml:space="preserve">Meera Iyer</t>
  </si>
  <si>
    <t xml:space="preserve">KYC-00027</t>
  </si>
  <si>
    <t xml:space="preserve">Zara Joshi</t>
  </si>
  <si>
    <t xml:space="preserve">KYC-00008</t>
  </si>
  <si>
    <t xml:space="preserve">KYC-00182</t>
  </si>
  <si>
    <t xml:space="preserve">Aarav Nair</t>
  </si>
  <si>
    <t xml:space="preserve">KYC-00395</t>
  </si>
  <si>
    <t xml:space="preserve">KYC-00109</t>
  </si>
  <si>
    <t xml:space="preserve">KYC-00038</t>
  </si>
  <si>
    <t xml:space="preserve">Zara Iyer</t>
  </si>
  <si>
    <t xml:space="preserve">KYC-00158</t>
  </si>
  <si>
    <t xml:space="preserve">KYC-00482</t>
  </si>
  <si>
    <t xml:space="preserve">KYC-00119</t>
  </si>
  <si>
    <t xml:space="preserve">KYC-00115</t>
  </si>
  <si>
    <t xml:space="preserve">KYC-00267</t>
  </si>
  <si>
    <t xml:space="preserve">Aditya Iyer</t>
  </si>
  <si>
    <t xml:space="preserve">KYC-00176</t>
  </si>
  <si>
    <t xml:space="preserve">Kabir Gupta</t>
  </si>
  <si>
    <t xml:space="preserve">KYC-00422</t>
  </si>
  <si>
    <t xml:space="preserve">Aarav Sharma</t>
  </si>
  <si>
    <t xml:space="preserve">KYC-00350</t>
  </si>
  <si>
    <t xml:space="preserve">Ayesha Nair</t>
  </si>
  <si>
    <t xml:space="preserve">KYC-00145</t>
  </si>
  <si>
    <t xml:space="preserve">KYC-00381</t>
  </si>
  <si>
    <t xml:space="preserve">KYC-00392</t>
  </si>
  <si>
    <t xml:space="preserve">KYC-00212</t>
  </si>
  <si>
    <t xml:space="preserve">Vivaan Joshi</t>
  </si>
  <si>
    <t xml:space="preserve">KYC-00322</t>
  </si>
  <si>
    <t xml:space="preserve">KYC-00495</t>
  </si>
  <si>
    <t xml:space="preserve">Zara Ansari</t>
  </si>
  <si>
    <t xml:space="preserve">KYC-00375</t>
  </si>
  <si>
    <t xml:space="preserve">KYC-00142</t>
  </si>
  <si>
    <t xml:space="preserve">KYC-00377</t>
  </si>
  <si>
    <t xml:space="preserve">KYC-00068</t>
  </si>
  <si>
    <t xml:space="preserve">Kabir Mehta</t>
  </si>
  <si>
    <t xml:space="preserve">KYC-00409</t>
  </si>
  <si>
    <t xml:space="preserve">Rohan Ansari</t>
  </si>
  <si>
    <t xml:space="preserve">KYC-00169</t>
  </si>
  <si>
    <t xml:space="preserve">Fatima Ansari</t>
  </si>
  <si>
    <t xml:space="preserve">KYC-00434</t>
  </si>
  <si>
    <t xml:space="preserve">Sana Verma</t>
  </si>
  <si>
    <t xml:space="preserve">KYC-00229</t>
  </si>
  <si>
    <t xml:space="preserve">KYC-00194</t>
  </si>
  <si>
    <t xml:space="preserve">KYC-00082</t>
  </si>
  <si>
    <t xml:space="preserve">Rohan Joshi</t>
  </si>
  <si>
    <t xml:space="preserve">KYC-00110</t>
  </si>
  <si>
    <t xml:space="preserve">Aditya Nair</t>
  </si>
  <si>
    <t xml:space="preserve">KYC-00429</t>
  </si>
  <si>
    <t xml:space="preserve">KYC-00146</t>
  </si>
  <si>
    <t xml:space="preserve">KYC-00093</t>
  </si>
  <si>
    <t xml:space="preserve">KYC-00153</t>
  </si>
  <si>
    <t xml:space="preserve">Fatima Reddy</t>
  </si>
  <si>
    <t xml:space="preserve">KYC-00480</t>
  </si>
  <si>
    <t xml:space="preserve">KYC-00249</t>
  </si>
  <si>
    <t xml:space="preserve">Arjun Gupta</t>
  </si>
  <si>
    <t xml:space="preserve">KYC-00084</t>
  </si>
  <si>
    <t xml:space="preserve">Rohan Sharma</t>
  </si>
  <si>
    <t xml:space="preserve">KYC-00104</t>
  </si>
  <si>
    <t xml:space="preserve">KYC-00166</t>
  </si>
  <si>
    <t xml:space="preserve">KYC-00164</t>
  </si>
  <si>
    <t xml:space="preserve">KYC-00200</t>
  </si>
  <si>
    <t xml:space="preserve">KYC-00246</t>
  </si>
  <si>
    <t xml:space="preserve">KYC-00075</t>
  </si>
  <si>
    <t xml:space="preserve">KYC-00317</t>
  </si>
  <si>
    <t xml:space="preserve">KYC-00230</t>
  </si>
  <si>
    <t xml:space="preserve">KYC-00485</t>
  </si>
  <si>
    <t xml:space="preserve">Zara Mehta</t>
  </si>
  <si>
    <t xml:space="preserve">KYC-00120</t>
  </si>
  <si>
    <t xml:space="preserve">KYC-00387</t>
  </si>
  <si>
    <t xml:space="preserve">KYC-00443</t>
  </si>
  <si>
    <t xml:space="preserve">KYC-00262</t>
  </si>
  <si>
    <t xml:space="preserve">KYC-00365</t>
  </si>
  <si>
    <t xml:space="preserve">Aarav Joshi</t>
  </si>
  <si>
    <t xml:space="preserve">KYC-00412</t>
  </si>
  <si>
    <t xml:space="preserve">KYC-00336</t>
  </si>
  <si>
    <t xml:space="preserve">KYC-00263</t>
  </si>
  <si>
    <t xml:space="preserve">KYC-00481</t>
  </si>
  <si>
    <t xml:space="preserve">KYC-00419</t>
  </si>
  <si>
    <t xml:space="preserve">Neha Singh</t>
  </si>
  <si>
    <t xml:space="preserve">KYC-00281</t>
  </si>
  <si>
    <t xml:space="preserve">KYC-00037</t>
  </si>
  <si>
    <t xml:space="preserve">KYC-00197</t>
  </si>
  <si>
    <t xml:space="preserve">KYC-00140</t>
  </si>
  <si>
    <t xml:space="preserve">KYC-00376</t>
  </si>
  <si>
    <t xml:space="preserve">KYC-00494</t>
  </si>
  <si>
    <t xml:space="preserve">KYC-00292</t>
  </si>
  <si>
    <t xml:space="preserve">Vivaan Mehta</t>
  </si>
  <si>
    <t xml:space="preserve">KYC-00362</t>
  </si>
  <si>
    <t xml:space="preserve">KYC-00060</t>
  </si>
  <si>
    <t xml:space="preserve">KYC-00473</t>
  </si>
  <si>
    <t xml:space="preserve">KYC-00112</t>
  </si>
  <si>
    <t xml:space="preserve">Meera Gupta</t>
  </si>
  <si>
    <t xml:space="preserve">KYC-00090</t>
  </si>
  <si>
    <t xml:space="preserve">KYC-00418</t>
  </si>
  <si>
    <t xml:space="preserve">KYC-00007</t>
  </si>
  <si>
    <t xml:space="preserve">KYC-00372</t>
  </si>
  <si>
    <t xml:space="preserve">KYC-00355</t>
  </si>
  <si>
    <t xml:space="preserve">KYC-00347</t>
  </si>
  <si>
    <t xml:space="preserve">Arjun Malik</t>
  </si>
  <si>
    <t xml:space="preserve">KYC-00159</t>
  </si>
  <si>
    <t xml:space="preserve">KYC-00151</t>
  </si>
  <si>
    <t xml:space="preserve">KYC-00393</t>
  </si>
  <si>
    <t xml:space="preserve">KYC-00039</t>
  </si>
  <si>
    <t xml:space="preserve">Aarav Singh</t>
  </si>
  <si>
    <t xml:space="preserve">KYC-00323</t>
  </si>
  <si>
    <t xml:space="preserve">KYC-00199</t>
  </si>
  <si>
    <t xml:space="preserve">Vivaan Iyer</t>
  </si>
  <si>
    <t xml:space="preserve">KYC-00450</t>
  </si>
  <si>
    <t xml:space="preserve">KYC-00147</t>
  </si>
  <si>
    <t xml:space="preserve">KYC-00405</t>
  </si>
  <si>
    <t xml:space="preserve">Fatima Verma</t>
  </si>
  <si>
    <t xml:space="preserve">KYC-00148</t>
  </si>
  <si>
    <t xml:space="preserve">KYC-00315</t>
  </si>
  <si>
    <t xml:space="preserve">Sana Reddy</t>
  </si>
  <si>
    <t xml:space="preserve">KYC-00490</t>
  </si>
  <si>
    <t xml:space="preserve">KYC-00124</t>
  </si>
  <si>
    <t xml:space="preserve">KYC-00403</t>
  </si>
  <si>
    <t xml:space="preserve">KYC-00097</t>
  </si>
  <si>
    <t xml:space="preserve">KYC-00144</t>
  </si>
  <si>
    <t xml:space="preserve">Meera Khan</t>
  </si>
  <si>
    <t xml:space="preserve">KYC-00240</t>
  </si>
  <si>
    <t xml:space="preserve">KYC-00407</t>
  </si>
  <si>
    <t xml:space="preserve">Arjun Reddy</t>
  </si>
  <si>
    <t xml:space="preserve">KYC-00098</t>
  </si>
  <si>
    <t xml:space="preserve">KYC-00361</t>
  </si>
  <si>
    <t xml:space="preserve">KYC-00123</t>
  </si>
  <si>
    <t xml:space="preserve">KYC-00184</t>
  </si>
  <si>
    <t xml:space="preserve">KYC-00203</t>
  </si>
  <si>
    <t xml:space="preserve">Fatima Singh</t>
  </si>
  <si>
    <t xml:space="preserve">KYC-00247</t>
  </si>
  <si>
    <t xml:space="preserve">KYC-00483</t>
  </si>
  <si>
    <t xml:space="preserve">KYC-00306</t>
  </si>
  <si>
    <t xml:space="preserve">KYC-00308</t>
  </si>
  <si>
    <t xml:space="preserve">KYC-00408</t>
  </si>
  <si>
    <t xml:space="preserve">KYC-00291</t>
  </si>
  <si>
    <t xml:space="preserve">KYC-00126</t>
  </si>
  <si>
    <t xml:space="preserve">Neha Joshi</t>
  </si>
  <si>
    <t xml:space="preserve">KYC-00311</t>
  </si>
  <si>
    <t xml:space="preserve">KYC-00224</t>
  </si>
  <si>
    <t xml:space="preserve">KYC-00441</t>
  </si>
  <si>
    <t xml:space="preserve">KYC-00220</t>
  </si>
  <si>
    <t xml:space="preserve">KYC-00130</t>
  </si>
  <si>
    <t xml:space="preserve">Ishaan Iyer</t>
  </si>
  <si>
    <t xml:space="preserve">KYC-00433</t>
  </si>
  <si>
    <t xml:space="preserve">KYC-00491</t>
  </si>
  <si>
    <t xml:space="preserve">KYC-00337</t>
  </si>
  <si>
    <t xml:space="preserve">Neha Ansari</t>
  </si>
  <si>
    <t xml:space="preserve">KYC-00389</t>
  </si>
  <si>
    <t xml:space="preserve">KYC-00298</t>
  </si>
  <si>
    <t xml:space="preserve">KYC-00366</t>
  </si>
  <si>
    <t xml:space="preserve">KYC-00302</t>
  </si>
  <si>
    <t xml:space="preserve">KYC-00295</t>
  </si>
  <si>
    <t xml:space="preserve">KYC-00349</t>
  </si>
  <si>
    <t xml:space="preserve">KYC-00113</t>
  </si>
  <si>
    <t xml:space="preserve">Vivaan Sharma</t>
  </si>
  <si>
    <t xml:space="preserve">KYC-00180</t>
  </si>
  <si>
    <t xml:space="preserve">Zara Sharma</t>
  </si>
  <si>
    <t xml:space="preserve">KYC-00453</t>
  </si>
  <si>
    <t xml:space="preserve">KYC-00348</t>
  </si>
  <si>
    <t xml:space="preserve">KYC-00339</t>
  </si>
  <si>
    <t xml:space="preserve">Neha Verma</t>
  </si>
  <si>
    <t xml:space="preserve">KYC-00498</t>
  </si>
  <si>
    <t xml:space="preserve">KYC-00371</t>
  </si>
  <si>
    <t xml:space="preserve">KYC-00234</t>
  </si>
  <si>
    <t xml:space="preserve">KYC-00461</t>
  </si>
  <si>
    <t xml:space="preserve">Sana Ansari</t>
  </si>
  <si>
    <t xml:space="preserve">KYC-00463</t>
  </si>
  <si>
    <t xml:space="preserve">Meera Sharma</t>
  </si>
  <si>
    <t xml:space="preserve">KYC-00165</t>
  </si>
  <si>
    <t xml:space="preserve">Vivaan Malik</t>
  </si>
  <si>
    <t xml:space="preserve">KYC-00137</t>
  </si>
  <si>
    <t xml:space="preserve">Imran Malik</t>
  </si>
  <si>
    <t xml:space="preserve">KYC-00198</t>
  </si>
  <si>
    <t xml:space="preserve">Ayesha Singh</t>
  </si>
  <si>
    <t xml:space="preserve">KYC-00259</t>
  </si>
  <si>
    <t xml:space="preserve">Arjun Mehta</t>
  </si>
  <si>
    <t xml:space="preserve">KYC-00233</t>
  </si>
  <si>
    <t xml:space="preserve">KYC-00116</t>
  </si>
  <si>
    <t xml:space="preserve">Tanvi Nair</t>
  </si>
  <si>
    <t xml:space="preserve">KYC-00121</t>
  </si>
  <si>
    <t xml:space="preserve">KYC-00370</t>
  </si>
  <si>
    <t xml:space="preserve">KYC-00225</t>
  </si>
  <si>
    <t xml:space="preserve">Kabir Malik</t>
  </si>
  <si>
    <t xml:space="preserve">KYC-00415</t>
  </si>
  <si>
    <t xml:space="preserve">Ayesha Verma</t>
  </si>
  <si>
    <t xml:space="preserve">KYC-00128</t>
  </si>
  <si>
    <t xml:space="preserve">KYC-00286</t>
  </si>
  <si>
    <t xml:space="preserve">KYC-00424</t>
  </si>
  <si>
    <t xml:space="preserve">Neha Mehta</t>
  </si>
  <si>
    <t xml:space="preserve">KYC-00108</t>
  </si>
  <si>
    <t xml:space="preserve">KYC-00382</t>
  </si>
  <si>
    <t xml:space="preserve">Sana Joshi</t>
  </si>
  <si>
    <t xml:space="preserve">KYC-00334</t>
  </si>
  <si>
    <t xml:space="preserve">KYC-00134</t>
  </si>
  <si>
    <t xml:space="preserve">KYC-00045</t>
  </si>
  <si>
    <t xml:space="preserve">KYC-00066</t>
  </si>
  <si>
    <t xml:space="preserve">Sana Gupta</t>
  </si>
  <si>
    <t xml:space="preserve">KYC-00284</t>
  </si>
  <si>
    <t xml:space="preserve">KYC-00086</t>
  </si>
  <si>
    <t xml:space="preserve">Aarav Reddy</t>
  </si>
  <si>
    <t xml:space="preserve">KYC-00187</t>
  </si>
  <si>
    <t xml:space="preserve">KYC-00160</t>
  </si>
  <si>
    <t xml:space="preserve">KYC-00013</t>
  </si>
  <si>
    <t xml:space="preserve">KYC-00036</t>
  </si>
  <si>
    <t xml:space="preserve">KYC-00029</t>
  </si>
  <si>
    <t xml:space="preserve">KYC-00171</t>
  </si>
  <si>
    <t xml:space="preserve">KYC-00143</t>
  </si>
  <si>
    <t xml:space="preserve">KYC-00411</t>
  </si>
  <si>
    <t xml:space="preserve">KYC-00437</t>
  </si>
  <si>
    <t xml:space="preserve">Neha Nair</t>
  </si>
  <si>
    <t xml:space="preserve">KYC-00222</t>
  </si>
  <si>
    <t xml:space="preserve">KYC-00096</t>
  </si>
  <si>
    <t xml:space="preserve">KYC-00052</t>
  </si>
  <si>
    <t xml:space="preserve">KYC-00241</t>
  </si>
  <si>
    <t xml:space="preserve">KYC-00384</t>
  </si>
  <si>
    <t xml:space="preserve">KYC-00352</t>
  </si>
  <si>
    <t xml:space="preserve">KYC-00391</t>
  </si>
  <si>
    <t xml:space="preserve">KYC-00042</t>
  </si>
  <si>
    <t xml:space="preserve">KYC-00449</t>
  </si>
  <si>
    <t xml:space="preserve">Meera Singh</t>
  </si>
  <si>
    <t xml:space="preserve">KYC-00400</t>
  </si>
  <si>
    <t xml:space="preserve">KYC-00207</t>
  </si>
  <si>
    <t xml:space="preserve">KYC-00283</t>
  </si>
  <si>
    <t xml:space="preserve">KYC-00255</t>
  </si>
  <si>
    <t xml:space="preserve">Arjun Ansari</t>
  </si>
  <si>
    <t xml:space="preserve">KYC-00425</t>
  </si>
  <si>
    <t xml:space="preserve">KYC-00005</t>
  </si>
  <si>
    <t xml:space="preserve">KYC-00257</t>
  </si>
  <si>
    <t xml:space="preserve">KYC-00462</t>
  </si>
  <si>
    <t xml:space="preserve">KYC-00101</t>
  </si>
  <si>
    <t xml:space="preserve">Sana Nair</t>
  </si>
  <si>
    <t xml:space="preserve">KYC-00227</t>
  </si>
  <si>
    <t xml:space="preserve">KYC-00440</t>
  </si>
  <si>
    <t xml:space="preserve">KYC-00214</t>
  </si>
  <si>
    <t xml:space="preserve">KYC-00435</t>
  </si>
  <si>
    <t xml:space="preserve">KYC-00172</t>
  </si>
  <si>
    <t xml:space="preserve">KYC-00099</t>
  </si>
  <si>
    <t xml:space="preserve">KYC-00293</t>
  </si>
  <si>
    <t xml:space="preserve">KYC-00216</t>
  </si>
  <si>
    <t xml:space="preserve">KYC-00062</t>
  </si>
  <si>
    <t xml:space="preserve">KYC-00048</t>
  </si>
  <si>
    <t xml:space="preserve">KYC-00033</t>
  </si>
  <si>
    <t xml:space="preserve">KYC-00268</t>
  </si>
  <si>
    <t xml:space="preserve">Imran Gupta</t>
  </si>
  <si>
    <t xml:space="preserve">KYC-00328</t>
  </si>
  <si>
    <t xml:space="preserve">KYC-00201</t>
  </si>
  <si>
    <t xml:space="preserve">KYC-00484</t>
  </si>
  <si>
    <t xml:space="preserve">KYC-00028</t>
  </si>
  <si>
    <t xml:space="preserve">KYC-00426</t>
  </si>
  <si>
    <t xml:space="preserve">Aarav Verma</t>
  </si>
  <si>
    <t xml:space="preserve">KYC-00231</t>
  </si>
  <si>
    <t xml:space="preserve">KYC-00261</t>
  </si>
  <si>
    <t xml:space="preserve">KYC-00379</t>
  </si>
  <si>
    <t xml:space="preserve">KYC-00163</t>
  </si>
  <si>
    <t xml:space="preserve">KYC-00139</t>
  </si>
  <si>
    <t xml:space="preserve">Aarav Mehta</t>
  </si>
  <si>
    <t xml:space="preserve">KYC-00136</t>
  </si>
  <si>
    <t xml:space="preserve">KYC-00129</t>
  </si>
  <si>
    <t xml:space="preserve">KYC-00493</t>
  </si>
  <si>
    <t xml:space="preserve">KYC-00009</t>
  </si>
  <si>
    <t xml:space="preserve">KYC-00327</t>
  </si>
  <si>
    <t xml:space="preserve">Ayesha Gupta</t>
  </si>
  <si>
    <t xml:space="preserve">KYC-00479</t>
  </si>
  <si>
    <t xml:space="preserve">KYC-00065</t>
  </si>
  <si>
    <t xml:space="preserve">KYC-00301</t>
  </si>
  <si>
    <t xml:space="preserve">KYC-00015</t>
  </si>
  <si>
    <t xml:space="preserve">KYC-00157</t>
  </si>
  <si>
    <t xml:space="preserve">KYC-00041</t>
  </si>
  <si>
    <t xml:space="preserve">Kabir Verma</t>
  </si>
  <si>
    <t xml:space="preserve">KYC-00380</t>
  </si>
  <si>
    <t xml:space="preserve">Meera Mehta</t>
  </si>
  <si>
    <t xml:space="preserve">KYC-00474</t>
  </si>
  <si>
    <t xml:space="preserve">KYC-00416</t>
  </si>
  <si>
    <t xml:space="preserve">KYC-00217</t>
  </si>
  <si>
    <t xml:space="preserve">KYC-00280</t>
  </si>
  <si>
    <t xml:space="preserve">KYC-00448</t>
  </si>
  <si>
    <t xml:space="preserve">KYC-00487</t>
  </si>
  <si>
    <t xml:space="preserve">KYC-00338</t>
  </si>
  <si>
    <t xml:space="preserve">KYC-00237</t>
  </si>
  <si>
    <t xml:space="preserve">KYC-00208</t>
  </si>
  <si>
    <t xml:space="preserve">KYC-00213</t>
  </si>
  <si>
    <t xml:space="preserve">KYC-00296</t>
  </si>
  <si>
    <t xml:space="preserve">Neha Malik</t>
  </si>
  <si>
    <t xml:space="preserve">KYC-00471</t>
  </si>
  <si>
    <t xml:space="preserve">KYC-00252</t>
  </si>
  <si>
    <t xml:space="preserve">KYC-00472</t>
  </si>
  <si>
    <t xml:space="preserve">KYC-00304</t>
  </si>
  <si>
    <t xml:space="preserve">Sana Khan</t>
  </si>
  <si>
    <t xml:space="preserve">KYC-00351</t>
  </si>
  <si>
    <t xml:space="preserve">KYC-00270</t>
  </si>
  <si>
    <t xml:space="preserve">KYC-00202</t>
  </si>
  <si>
    <t xml:space="preserve">KYC-00044</t>
  </si>
  <si>
    <t xml:space="preserve">KYC-00218</t>
  </si>
  <si>
    <t xml:space="preserve">KYC-00402</t>
  </si>
  <si>
    <t xml:space="preserve">KYC-00191</t>
  </si>
  <si>
    <t xml:space="preserve">Arjun Verma</t>
  </si>
  <si>
    <t xml:space="preserve">KYC-00310</t>
  </si>
  <si>
    <t xml:space="preserve">KYC-00260</t>
  </si>
  <si>
    <t xml:space="preserve">KYC-00106</t>
  </si>
  <si>
    <t xml:space="preserve">KYC-00054</t>
  </si>
  <si>
    <t xml:space="preserve">KYC-00390</t>
  </si>
  <si>
    <t xml:space="preserve">KYC-00002</t>
  </si>
  <si>
    <t xml:space="preserve">KYC-00455</t>
  </si>
  <si>
    <t xml:space="preserve">KYC-00499</t>
  </si>
  <si>
    <t xml:space="preserve">KYC-00050</t>
  </si>
  <si>
    <t xml:space="preserve">Rohan Gupta</t>
  </si>
  <si>
    <t xml:space="preserve">KYC-00420</t>
  </si>
  <si>
    <t xml:space="preserve">KYC-00081</t>
  </si>
  <si>
    <t xml:space="preserve">KYC-00206</t>
  </si>
  <si>
    <t xml:space="preserve">Meera Reddy</t>
  </si>
  <si>
    <t xml:space="preserve">KYC-00035</t>
  </si>
  <si>
    <t xml:space="preserve">KYC-00431</t>
  </si>
  <si>
    <t xml:space="preserve">Sana Singh</t>
  </si>
  <si>
    <t xml:space="preserve">KYC-00264</t>
  </si>
  <si>
    <t xml:space="preserve">KYC-00428</t>
  </si>
  <si>
    <t xml:space="preserve">KYC-00367</t>
  </si>
  <si>
    <t xml:space="preserve">KYC-00092</t>
  </si>
  <si>
    <t xml:space="preserve">KYC-00340</t>
  </si>
  <si>
    <t xml:space="preserve">KYC-00489</t>
  </si>
  <si>
    <t xml:space="preserve">KYC-00053</t>
  </si>
  <si>
    <t xml:space="preserve">KYC-00346</t>
  </si>
  <si>
    <t xml:space="preserve">KYC-00265</t>
  </si>
  <si>
    <t xml:space="preserve">KYC-00242</t>
  </si>
  <si>
    <t xml:space="preserve">KYC-00014</t>
  </si>
  <si>
    <t xml:space="preserve">KYC-00316</t>
  </si>
  <si>
    <t xml:space="preserve">KYC-00089</t>
  </si>
  <si>
    <t xml:space="preserve">KYC-00388</t>
  </si>
  <si>
    <t xml:space="preserve">KYC-00274</t>
  </si>
  <si>
    <t xml:space="preserve">KYC-00167</t>
  </si>
  <si>
    <t xml:space="preserve">KYC-00135</t>
  </si>
  <si>
    <t xml:space="preserve">KYC-00307</t>
  </si>
  <si>
    <t xml:space="preserve">KYC-00497</t>
  </si>
  <si>
    <t xml:space="preserve">KYC-00320</t>
  </si>
  <si>
    <t xml:space="preserve">KYC-00244</t>
  </si>
  <si>
    <t xml:space="preserve">KYC-00055</t>
  </si>
  <si>
    <t xml:space="preserve">KYC-00364</t>
  </si>
  <si>
    <t xml:space="preserve">KYC-00051</t>
  </si>
  <si>
    <t xml:space="preserve">KYC-00470</t>
  </si>
  <si>
    <t xml:space="preserve">KYC-00175</t>
  </si>
  <si>
    <t xml:space="preserve">KYC-00446</t>
  </si>
  <si>
    <t xml:space="preserve">KYC-00190</t>
  </si>
  <si>
    <t xml:space="preserve">KYC-00188</t>
  </si>
  <si>
    <t xml:space="preserve">KYC-00170</t>
  </si>
  <si>
    <t xml:space="preserve">KYC-00059</t>
  </si>
  <si>
    <t xml:space="preserve">KYC-00475</t>
  </si>
  <si>
    <t xml:space="preserve">KYC-00049</t>
  </si>
  <si>
    <t xml:space="preserve">Tanvi Verma</t>
  </si>
  <si>
    <t xml:space="preserve">KYC-00345</t>
  </si>
  <si>
    <t xml:space="preserve">KYC-00236</t>
  </si>
  <si>
    <t xml:space="preserve">KYC-00253</t>
  </si>
  <si>
    <t xml:space="preserve">KYC-00022</t>
  </si>
  <si>
    <t xml:space="preserve">KYC-00314</t>
  </si>
  <si>
    <t xml:space="preserve">KYC-00460</t>
  </si>
  <si>
    <t xml:space="preserve">KYC-00161</t>
  </si>
  <si>
    <t xml:space="preserve">KYC-00277</t>
  </si>
  <si>
    <t xml:space="preserve">KYC-00444</t>
  </si>
  <si>
    <t xml:space="preserve">KYC-00192</t>
  </si>
  <si>
    <t xml:space="preserve">Ayesha Joshi</t>
  </si>
  <si>
    <t xml:space="preserve">KYC-00386</t>
  </si>
  <si>
    <t xml:space="preserve">Riya Malik</t>
  </si>
  <si>
    <t xml:space="preserve">KYC-00294</t>
  </si>
  <si>
    <t xml:space="preserve">KYC-00414</t>
  </si>
  <si>
    <t xml:space="preserve">KYC-00492</t>
  </si>
  <si>
    <t xml:space="preserve">KYC-00344</t>
  </si>
  <si>
    <t xml:space="preserve">KYC-00258</t>
  </si>
  <si>
    <t xml:space="preserve">KYC-00309</t>
  </si>
  <si>
    <t xml:space="preserve">KYC-00150</t>
  </si>
  <si>
    <t xml:space="preserve">KYC-00131</t>
  </si>
  <si>
    <t xml:space="preserve">KYC-00152</t>
  </si>
  <si>
    <t xml:space="preserve">Riya Ansari</t>
  </si>
  <si>
    <t xml:space="preserve">KYC-00360</t>
  </si>
  <si>
    <t xml:space="preserve">KYC-00100</t>
  </si>
  <si>
    <t xml:space="preserve">KYC-00373</t>
  </si>
  <si>
    <t xml:space="preserve">KYC-00088</t>
  </si>
  <si>
    <t xml:space="preserve">KYC-00459</t>
  </si>
  <si>
    <t xml:space="preserve">KYC-00331</t>
  </si>
  <si>
    <t xml:space="preserve">KYC-00215</t>
  </si>
  <si>
    <t xml:space="preserve">KYC-00467</t>
  </si>
  <si>
    <t xml:space="preserve">KYC-00122</t>
  </si>
  <si>
    <t xml:space="preserve">KYC-00021</t>
  </si>
  <si>
    <t xml:space="preserve">Neha Sharma</t>
  </si>
  <si>
    <t xml:space="preserve">KYC-00189</t>
  </si>
  <si>
    <t xml:space="preserve">KYC-00072</t>
  </si>
  <si>
    <t xml:space="preserve">KYC-00107</t>
  </si>
  <si>
    <t xml:space="preserve">Arjun Nair</t>
  </si>
  <si>
    <t xml:space="preserve">KYC-00271</t>
  </si>
  <si>
    <t xml:space="preserve">KYC-00436</t>
  </si>
  <si>
    <t xml:space="preserve">KYC-00103</t>
  </si>
  <si>
    <t xml:space="preserve">closed_cases</t>
  </si>
  <si>
    <t xml:space="preserve">avg_turnaround_days</t>
  </si>
  <si>
    <t xml:space="preserve">max_turnaround_days</t>
  </si>
  <si>
    <t xml:space="preserve">total_cases</t>
  </si>
  <si>
    <t xml:space="preserve">approved</t>
  </si>
  <si>
    <t xml:space="preserve">rejected</t>
  </si>
  <si>
    <t xml:space="preserve">pending</t>
  </si>
  <si>
    <t xml:space="preserve">month</t>
  </si>
  <si>
    <t xml:space="preserve">submitted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</si>
  <si>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</si>
  <si>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</si>
  <si>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</si>
  <si>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</si>
  <si>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</si>
  <si>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days_pending</t>
  </si>
  <si>
    <t xml:space="preserve">2026-07-27</t>
  </si>
  <si>
    <t xml:space="preserve">2026-09-04</t>
  </si>
  <si>
    <t xml:space="preserve">2026-09-11</t>
  </si>
  <si>
    <t xml:space="preserve">2026-10-18</t>
  </si>
  <si>
    <t xml:space="preserve">2026-07-19</t>
  </si>
  <si>
    <t xml:space="preserve">2026-07-28</t>
  </si>
  <si>
    <t xml:space="preserve">2026-08-01</t>
  </si>
  <si>
    <t xml:space="preserve">2026-08-05</t>
  </si>
  <si>
    <t xml:space="preserve">2026-08-23</t>
  </si>
  <si>
    <t xml:space="preserve">2026-08-31</t>
  </si>
  <si>
    <t xml:space="preserve">2026-09-27</t>
  </si>
  <si>
    <t xml:space="preserve">2026-10-03</t>
  </si>
  <si>
    <t xml:space="preserve">2026-10-07</t>
  </si>
  <si>
    <t xml:space="preserve">2026-10-16</t>
  </si>
  <si>
    <t xml:space="preserve">2026-10-17</t>
  </si>
  <si>
    <t xml:space="preserve">2026-10-21</t>
  </si>
  <si>
    <t xml:space="preserve">2026-06-30</t>
  </si>
  <si>
    <t xml:space="preserve">2026-07-16</t>
  </si>
  <si>
    <t xml:space="preserve">2026-07-21</t>
  </si>
  <si>
    <t xml:space="preserve">2026-07-22</t>
  </si>
  <si>
    <t xml:space="preserve">2026-07-23</t>
  </si>
  <si>
    <t xml:space="preserve">2026-08-02</t>
  </si>
  <si>
    <t xml:space="preserve">2026-08-15</t>
  </si>
  <si>
    <t xml:space="preserve">2026-08-26</t>
  </si>
  <si>
    <t xml:space="preserve">2026-09-03</t>
  </si>
  <si>
    <t xml:space="preserve">2026-09-12</t>
  </si>
  <si>
    <t xml:space="preserve">2026-09-17</t>
  </si>
  <si>
    <t xml:space="preserve">2026-10-04</t>
  </si>
  <si>
    <t xml:space="preserve">2026-10-10</t>
  </si>
  <si>
    <t xml:space="preserve">2026-10-13</t>
  </si>
  <si>
    <t xml:space="preserve">2026-10-14</t>
  </si>
  <si>
    <t xml:space="preserve">reason</t>
  </si>
  <si>
    <t xml:space="preserve">duplicate case_id</t>
  </si>
  <si>
    <t xml:space="preserve">KYC-00458</t>
  </si>
  <si>
    <t xml:space="preserve">invalid or missing submitted_date</t>
  </si>
  <si>
    <t xml:space="preserve">KYC-00070</t>
  </si>
  <si>
    <t xml:space="preserve">KYC-00394</t>
  </si>
  <si>
    <t xml:space="preserve">KYC-00285</t>
  </si>
  <si>
    <t xml:space="preserve">KYC-00018</t>
  </si>
  <si>
    <t xml:space="preserve">KYC-00243</t>
  </si>
  <si>
    <t xml:space="preserve">KYC-00396</t>
  </si>
  <si>
    <t xml:space="preserve">KYC-00179</t>
  </si>
  <si>
    <t xml:space="preserve">KYC-00438</t>
  </si>
  <si>
    <t xml:space="preserve">KYC-00063</t>
  </si>
  <si>
    <t xml:space="preserve">KYC-00399</t>
  </si>
  <si>
    <t xml:space="preserve">completed_date earlier than submitted_date</t>
  </si>
  <si>
    <t xml:space="preserve">KYC-00369</t>
  </si>
  <si>
    <t xml:space="preserve">KYC-00356</t>
  </si>
  <si>
    <t xml:space="preserve">KYC-00477</t>
  </si>
  <si>
    <t xml:space="preserve">KYC-00359</t>
  </si>
  <si>
    <t xml:space="preserve">KYC-00289</t>
  </si>
  <si>
    <t xml:space="preserve">KYC-00162</t>
  </si>
  <si>
    <t xml:space="preserve">KYC-00329</t>
  </si>
  <si>
    <t xml:space="preserve">KYC-00464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</si>
</sst>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0.0%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Cases by risk level and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Summary!B17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Summary!$A$18:$A$20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Summary!$B$18:$B$20</c:f>
              <c:numCache>
                <c:formatCode>General</c:formatCode>
                <c:ptCount val="3"/>
                <c:pt idx="0">
                  <c:v>30</c:v>
                </c:pt>
                <c:pt idx="1">
                  <c:v>15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Summary!C17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Summary!$A$18:$A$20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Summary!$C$18:$C$20</c:f>
              <c:numCache>
                <c:formatCode>General</c:formatCode>
                <c:ptCount val="3"/>
                <c:pt idx="0">
                  <c:v>213</c:v>
                </c:pt>
                <c:pt idx="1">
                  <c:v>105</c:v>
                </c:pt>
                <c:pt idx="2">
                  <c:v>32</c:v>
                </c:pt>
              </c:numCache>
            </c:numRef>
          </c:val>
        </c:ser>
        <c:ser>
          <c:idx val="2"/>
          <c:order val="2"/>
          <c:tx>
            <c:strRef>
              <c:f>Summary!D17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Summary!$A$18:$A$20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Summary!$D$18:$D$20</c:f>
              <c:numCache>
                <c:formatCode>General</c:formatCode>
                <c:ptCount val="3"/>
                <c:pt idx="0">
                  <c:v>47</c:v>
                </c:pt>
                <c:pt idx="1">
                  <c:v>25</c:v>
                </c:pt>
                <c:pt idx="2">
                  <c:v>8</c:v>
                </c:pt>
              </c:numCache>
            </c:numRef>
          </c:val>
        </c:ser>
        <c:gapWidth val="150"/>
        <c:overlap val="100"/>
        <c:axId val="39820613"/>
        <c:axId val="19083560"/>
      </c:barChart>
      <c:catAx>
        <c:axId val="398206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83560"/>
        <c:crosses val="autoZero"/>
        <c:auto val="1"/>
        <c:lblAlgn val="ctr"/>
        <c:lblOffset val="100"/>
        <c:noMultiLvlLbl val="0"/>
      </c:catAx>
      <c:valAx>
        <c:axId val="19083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206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14</xdr:col>
      <xdr:colOff>147600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695520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3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</row>
    <row r="4" customFormat="false" ht="15" hidden="false" customHeight="false" outlineLevel="0" collapsed="false">
      <c r="A4" s="2" t="s">
        <v>2</v>
      </c>
      <c r="B4" s="4" t="n">
        <v>46322</v>
      </c>
      <c r="C4" s="2"/>
      <c r="D4" s="2"/>
      <c r="E4" s="2"/>
    </row>
    <row r="5" customFormat="false" ht="15" hidden="false" customHeight="false" outlineLevel="0" collapsed="false">
      <c r="A5" s="2" t="s">
        <v>3</v>
      </c>
      <c r="B5" s="5" t="n">
        <v>5</v>
      </c>
      <c r="C5" s="2"/>
      <c r="D5" s="2"/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3" t="s">
        <v>4</v>
      </c>
      <c r="B7" s="2"/>
      <c r="C7" s="2"/>
      <c r="D7" s="2"/>
      <c r="E7" s="2"/>
    </row>
    <row r="8" customFormat="false" ht="15" hidden="false" customHeight="false" outlineLevel="0" collapsed="false">
      <c r="A8" s="2" t="s">
        <v>5</v>
      </c>
      <c r="B8" s="6" t="n">
        <f aca="false">COUNTA(Cases!$A$2:$A$482)</f>
        <v>481</v>
      </c>
      <c r="C8" s="2"/>
      <c r="D8" s="2"/>
      <c r="E8" s="2"/>
    </row>
    <row r="9" customFormat="false" ht="15" hidden="false" customHeight="false" outlineLevel="0" collapsed="false">
      <c r="A9" s="2" t="s">
        <v>6</v>
      </c>
      <c r="B9" s="6" t="n">
        <f aca="false">COUNTIF(Cases!$F$2:$F$482,"Pending")</f>
        <v>51</v>
      </c>
      <c r="C9" s="2"/>
      <c r="D9" s="2"/>
      <c r="E9" s="2"/>
    </row>
    <row r="10" customFormat="false" ht="15" hidden="false" customHeight="false" outlineLevel="0" collapsed="false">
      <c r="A10" s="2" t="s">
        <v>7</v>
      </c>
      <c r="B10" s="6" t="n">
        <f aca="false">COUNTIF(Cases!$F$2:$F$482,"Approved")</f>
        <v>350</v>
      </c>
      <c r="C10" s="2"/>
      <c r="D10" s="2"/>
      <c r="E10" s="2"/>
    </row>
    <row r="11" customFormat="false" ht="15" hidden="false" customHeight="false" outlineLevel="0" collapsed="false">
      <c r="A11" s="2" t="s">
        <v>8</v>
      </c>
      <c r="B11" s="6" t="n">
        <f aca="false">COUNTIF(Cases!$F$2:$F$482,"Rejected")</f>
        <v>80</v>
      </c>
      <c r="C11" s="2"/>
      <c r="D11" s="2"/>
      <c r="E11" s="2"/>
    </row>
    <row r="12" customFormat="false" ht="15" hidden="false" customHeight="false" outlineLevel="0" collapsed="false">
      <c r="A12" s="2" t="s">
        <v>9</v>
      </c>
      <c r="B12" s="7" t="n">
        <f aca="false">IFERROR(B10/(B10+B11),0)</f>
        <v>0.813953488372093</v>
      </c>
      <c r="C12" s="2"/>
      <c r="D12" s="2"/>
      <c r="E12" s="2"/>
    </row>
    <row r="13" customFormat="false" ht="15" hidden="false" customHeight="false" outlineLevel="0" collapsed="false">
      <c r="A13" s="2" t="s">
        <v>10</v>
      </c>
      <c r="B13" s="8" t="n">
        <f aca="false">IFERROR(AVERAGE(Cases!$J$2:$J$482),0)</f>
        <v>6.84186046511628</v>
      </c>
      <c r="C13" s="2"/>
      <c r="D13" s="2"/>
      <c r="E13" s="2"/>
    </row>
    <row r="14" customFormat="false" ht="15" hidden="false" customHeight="false" outlineLevel="0" collapsed="false">
      <c r="A14" s="2" t="s">
        <v>11</v>
      </c>
      <c r="B14" s="6" t="n">
        <f aca="false">COUNTIFS(Cases!$F$2:$F$482,"Pending",Cases!$H$2:$H$482,"&lt;"&amp;($B$4-$B$5))</f>
        <v>35</v>
      </c>
      <c r="C14" s="2"/>
      <c r="D14" s="2"/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3" t="s">
        <v>12</v>
      </c>
      <c r="B16" s="2"/>
      <c r="C16" s="2"/>
      <c r="D16" s="2"/>
      <c r="E16" s="2"/>
    </row>
    <row r="17" customFormat="false" ht="15" hidden="false" customHeight="false" outlineLevel="0" collapsed="false">
      <c r="A17" s="9" t="s">
        <v>13</v>
      </c>
      <c r="B17" s="9" t="s">
        <v>6</v>
      </c>
      <c r="C17" s="9" t="s">
        <v>7</v>
      </c>
      <c r="D17" s="9" t="s">
        <v>8</v>
      </c>
      <c r="E17" s="9" t="s">
        <v>14</v>
      </c>
    </row>
    <row r="18" customFormat="false" ht="15" hidden="false" customHeight="false" outlineLevel="0" collapsed="false">
      <c r="A18" s="2" t="s">
        <v>15</v>
      </c>
      <c r="B18" s="2" t="n">
        <f aca="false">COUNTIFS(Cases!$E$2:$E$482,$A18,Cases!$F$2:$F$482,B$17)</f>
        <v>30</v>
      </c>
      <c r="C18" s="2" t="n">
        <f aca="false">COUNTIFS(Cases!$E$2:$E$482,$A18,Cases!$F$2:$F$482,C$17)</f>
        <v>213</v>
      </c>
      <c r="D18" s="2" t="n">
        <f aca="false">COUNTIFS(Cases!$E$2:$E$482,$A18,Cases!$F$2:$F$482,D$17)</f>
        <v>47</v>
      </c>
      <c r="E18" s="2" t="n">
        <f aca="false">SUM(B18:D18)</f>
        <v>290</v>
      </c>
    </row>
    <row r="19" customFormat="false" ht="15" hidden="false" customHeight="false" outlineLevel="0" collapsed="false">
      <c r="A19" s="2" t="s">
        <v>16</v>
      </c>
      <c r="B19" s="2" t="n">
        <f aca="false">COUNTIFS(Cases!$E$2:$E$482,$A19,Cases!$F$2:$F$482,B$17)</f>
        <v>15</v>
      </c>
      <c r="C19" s="2" t="n">
        <f aca="false">COUNTIFS(Cases!$E$2:$E$482,$A19,Cases!$F$2:$F$482,C$17)</f>
        <v>105</v>
      </c>
      <c r="D19" s="2" t="n">
        <f aca="false">COUNTIFS(Cases!$E$2:$E$482,$A19,Cases!$F$2:$F$482,D$17)</f>
        <v>25</v>
      </c>
      <c r="E19" s="2" t="n">
        <f aca="false">SUM(B19:D19)</f>
        <v>145</v>
      </c>
    </row>
    <row r="20" customFormat="false" ht="15" hidden="false" customHeight="false" outlineLevel="0" collapsed="false">
      <c r="A20" s="2" t="s">
        <v>17</v>
      </c>
      <c r="B20" s="2" t="n">
        <f aca="false">COUNTIFS(Cases!$E$2:$E$482,$A20,Cases!$F$2:$F$482,B$17)</f>
        <v>6</v>
      </c>
      <c r="C20" s="2" t="n">
        <f aca="false">COUNTIFS(Cases!$E$2:$E$482,$A20,Cases!$F$2:$F$482,C$17)</f>
        <v>32</v>
      </c>
      <c r="D20" s="2" t="n">
        <f aca="false">COUNTIFS(Cases!$E$2:$E$482,$A20,Cases!$F$2:$F$482,D$17)</f>
        <v>8</v>
      </c>
      <c r="E20" s="2" t="n">
        <f aca="false">SUM(B20:D20)</f>
        <v>46</v>
      </c>
    </row>
    <row r="21" customFormat="false" ht="15" hidden="false" customHeight="false" outlineLevel="0" collapsed="false">
      <c r="A21" s="10" t="s">
        <v>14</v>
      </c>
      <c r="B21" s="10" t="n">
        <f aca="false">SUM(B18:B20)</f>
        <v>51</v>
      </c>
      <c r="C21" s="10" t="n">
        <f aca="false">SUM(C18:C20)</f>
        <v>350</v>
      </c>
      <c r="D21" s="10" t="n">
        <f aca="false">SUM(D18:D20)</f>
        <v>80</v>
      </c>
      <c r="E21" s="10" t="n">
        <f aca="false">SUM(E18:E20)</f>
        <v>481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3" t="s">
        <v>18</v>
      </c>
      <c r="B23" s="2"/>
      <c r="C23" s="2"/>
      <c r="D23" s="2"/>
      <c r="E23" s="2"/>
    </row>
    <row r="24" customFormat="false" ht="15" hidden="false" customHeight="false" outlineLevel="0" collapsed="false">
      <c r="A24" s="2" t="s">
        <v>19</v>
      </c>
      <c r="B24" s="2"/>
      <c r="C24" s="2"/>
      <c r="D24" s="2"/>
      <c r="E24" s="2"/>
    </row>
    <row r="25" customFormat="false" ht="15" hidden="false" customHeight="false" outlineLevel="0" collapsed="false">
      <c r="A25" s="2" t="s">
        <v>20</v>
      </c>
      <c r="B25" s="2"/>
      <c r="C25" s="2"/>
      <c r="D25" s="2"/>
      <c r="E25" s="2"/>
    </row>
    <row r="26" customFormat="false" ht="15" hidden="false" customHeight="false" outlineLevel="0" collapsed="false">
      <c r="A26" s="2" t="s">
        <v>21</v>
      </c>
      <c r="B26" s="2"/>
      <c r="C26" s="2"/>
      <c r="D26" s="2"/>
      <c r="E26" s="2"/>
    </row>
    <row r="27" customFormat="false" ht="15" hidden="false" customHeight="false" outlineLevel="0" collapsed="false">
      <c r="A27" s="2" t="s">
        <v>22</v>
      </c>
      <c r="B27" s="2"/>
      <c r="C27" s="2"/>
      <c r="D27" s="2"/>
      <c r="E27" s="2"/>
    </row>
  </sheetData>
  <conditionalFormatting sqref="B14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6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16</v>
      </c>
      <c r="F2" s="2" t="s">
        <v>7</v>
      </c>
      <c r="G2" s="2" t="s">
        <v>37</v>
      </c>
      <c r="H2" s="11" t="n">
        <v>46273</v>
      </c>
      <c r="I2" s="11" t="n">
        <v>46284</v>
      </c>
      <c r="J2" s="2" t="n">
        <f aca="false">IF(I2="","",I2-H2)</f>
        <v>11</v>
      </c>
    </row>
    <row r="3" customFormat="false" ht="15" hidden="false" customHeight="false" outlineLevel="0" collapsed="false">
      <c r="A3" s="2" t="s">
        <v>38</v>
      </c>
      <c r="B3" s="2" t="s">
        <v>39</v>
      </c>
      <c r="C3" s="2" t="s">
        <v>40</v>
      </c>
      <c r="D3" s="2" t="s">
        <v>41</v>
      </c>
      <c r="E3" s="2" t="s">
        <v>15</v>
      </c>
      <c r="F3" s="2" t="s">
        <v>8</v>
      </c>
      <c r="G3" s="2" t="s">
        <v>42</v>
      </c>
      <c r="H3" s="11" t="n">
        <v>46316</v>
      </c>
      <c r="I3" s="11" t="n">
        <v>46319</v>
      </c>
      <c r="J3" s="2" t="n">
        <f aca="false">IF(I3="","",I3-H3)</f>
        <v>3</v>
      </c>
    </row>
    <row r="4" customFormat="false" ht="15" hidden="false" customHeight="false" outlineLevel="0" collapsed="false">
      <c r="A4" s="2" t="s">
        <v>43</v>
      </c>
      <c r="B4" s="2" t="s">
        <v>44</v>
      </c>
      <c r="C4" s="2" t="s">
        <v>45</v>
      </c>
      <c r="D4" s="2" t="s">
        <v>41</v>
      </c>
      <c r="E4" s="2" t="s">
        <v>17</v>
      </c>
      <c r="F4" s="2" t="s">
        <v>7</v>
      </c>
      <c r="G4" s="2" t="s">
        <v>37</v>
      </c>
      <c r="H4" s="11" t="n">
        <v>46221</v>
      </c>
      <c r="I4" s="11" t="n">
        <v>46233</v>
      </c>
      <c r="J4" s="2" t="n">
        <f aca="false">IF(I4="","",I4-H4)</f>
        <v>12</v>
      </c>
    </row>
    <row r="5" customFormat="false" ht="15" hidden="false" customHeight="false" outlineLevel="0" collapsed="false">
      <c r="A5" s="2" t="s">
        <v>46</v>
      </c>
      <c r="B5" s="2" t="s">
        <v>47</v>
      </c>
      <c r="C5" s="2" t="s">
        <v>40</v>
      </c>
      <c r="D5" s="2" t="s">
        <v>48</v>
      </c>
      <c r="E5" s="2" t="s">
        <v>15</v>
      </c>
      <c r="F5" s="2" t="s">
        <v>8</v>
      </c>
      <c r="G5" s="2" t="s">
        <v>49</v>
      </c>
      <c r="H5" s="11" t="n">
        <v>46255</v>
      </c>
      <c r="I5" s="11" t="n">
        <v>46262</v>
      </c>
      <c r="J5" s="2" t="n">
        <f aca="false">IF(I5="","",I5-H5)</f>
        <v>7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s">
        <v>45</v>
      </c>
      <c r="D6" s="2" t="s">
        <v>48</v>
      </c>
      <c r="E6" s="2" t="s">
        <v>16</v>
      </c>
      <c r="F6" s="2" t="s">
        <v>7</v>
      </c>
      <c r="G6" s="2" t="s">
        <v>37</v>
      </c>
      <c r="H6" s="11" t="n">
        <v>46243</v>
      </c>
      <c r="I6" s="11" t="n">
        <v>46251</v>
      </c>
      <c r="J6" s="2" t="n">
        <f aca="false">IF(I6="","",I6-H6)</f>
        <v>8</v>
      </c>
    </row>
    <row r="7" customFormat="false" ht="15" hidden="false" customHeight="false" outlineLevel="0" collapsed="false">
      <c r="A7" s="2" t="s">
        <v>52</v>
      </c>
      <c r="B7" s="2" t="s">
        <v>53</v>
      </c>
      <c r="C7" s="2" t="s">
        <v>54</v>
      </c>
      <c r="D7" s="2" t="s">
        <v>41</v>
      </c>
      <c r="E7" s="2" t="s">
        <v>15</v>
      </c>
      <c r="F7" s="2" t="s">
        <v>7</v>
      </c>
      <c r="G7" s="2" t="s">
        <v>55</v>
      </c>
      <c r="H7" s="11" t="n">
        <v>46220</v>
      </c>
      <c r="I7" s="11" t="n">
        <v>46230</v>
      </c>
      <c r="J7" s="2" t="n">
        <f aca="false">IF(I7="","",I7-H7)</f>
        <v>10</v>
      </c>
    </row>
    <row r="8" customFormat="false" ht="15" hidden="false" customHeight="false" outlineLevel="0" collapsed="false">
      <c r="A8" s="2" t="s">
        <v>56</v>
      </c>
      <c r="B8" s="2" t="s">
        <v>57</v>
      </c>
      <c r="C8" s="2" t="s">
        <v>58</v>
      </c>
      <c r="D8" s="2" t="s">
        <v>41</v>
      </c>
      <c r="E8" s="2" t="s">
        <v>15</v>
      </c>
      <c r="F8" s="2" t="s">
        <v>6</v>
      </c>
      <c r="G8" s="2" t="s">
        <v>49</v>
      </c>
      <c r="H8" s="11" t="n">
        <v>46320</v>
      </c>
      <c r="I8" s="11"/>
      <c r="J8" s="2" t="str">
        <f aca="false">IF(I8="","",I8-H8)</f>
        <v/>
      </c>
    </row>
    <row r="9" customFormat="false" ht="15" hidden="false" customHeight="false" outlineLevel="0" collapsed="false">
      <c r="A9" s="2" t="s">
        <v>59</v>
      </c>
      <c r="B9" s="2" t="s">
        <v>60</v>
      </c>
      <c r="C9" s="2" t="s">
        <v>54</v>
      </c>
      <c r="D9" s="2" t="s">
        <v>48</v>
      </c>
      <c r="E9" s="2" t="s">
        <v>15</v>
      </c>
      <c r="F9" s="2" t="s">
        <v>7</v>
      </c>
      <c r="G9" s="2" t="s">
        <v>37</v>
      </c>
      <c r="H9" s="11" t="n">
        <v>46303</v>
      </c>
      <c r="I9" s="11" t="n">
        <v>46314</v>
      </c>
      <c r="J9" s="2" t="n">
        <f aca="false">IF(I9="","",I9-H9)</f>
        <v>11</v>
      </c>
    </row>
    <row r="10" customFormat="false" ht="15" hidden="false" customHeight="false" outlineLevel="0" collapsed="false">
      <c r="A10" s="2" t="s">
        <v>61</v>
      </c>
      <c r="B10" s="2" t="s">
        <v>62</v>
      </c>
      <c r="C10" s="2" t="s">
        <v>45</v>
      </c>
      <c r="D10" s="2" t="s">
        <v>48</v>
      </c>
      <c r="E10" s="2" t="s">
        <v>15</v>
      </c>
      <c r="F10" s="2" t="s">
        <v>7</v>
      </c>
      <c r="G10" s="2" t="s">
        <v>49</v>
      </c>
      <c r="H10" s="11" t="n">
        <v>46264</v>
      </c>
      <c r="I10" s="11" t="n">
        <v>46276</v>
      </c>
      <c r="J10" s="2" t="n">
        <f aca="false">IF(I10="","",I10-H10)</f>
        <v>12</v>
      </c>
    </row>
    <row r="11" customFormat="false" ht="15" hidden="false" customHeight="false" outlineLevel="0" collapsed="false">
      <c r="A11" s="2" t="s">
        <v>63</v>
      </c>
      <c r="B11" s="2" t="s">
        <v>53</v>
      </c>
      <c r="C11" s="2" t="s">
        <v>40</v>
      </c>
      <c r="D11" s="2" t="s">
        <v>41</v>
      </c>
      <c r="E11" s="2" t="s">
        <v>16</v>
      </c>
      <c r="F11" s="2" t="s">
        <v>7</v>
      </c>
      <c r="G11" s="2" t="s">
        <v>37</v>
      </c>
      <c r="H11" s="11" t="n">
        <v>46281</v>
      </c>
      <c r="I11" s="11" t="n">
        <v>46286</v>
      </c>
      <c r="J11" s="2" t="n">
        <f aca="false">IF(I11="","",I11-H11)</f>
        <v>5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54</v>
      </c>
      <c r="D12" s="2" t="s">
        <v>36</v>
      </c>
      <c r="E12" s="2" t="s">
        <v>15</v>
      </c>
      <c r="F12" s="2" t="s">
        <v>7</v>
      </c>
      <c r="G12" s="2" t="s">
        <v>37</v>
      </c>
      <c r="H12" s="11" t="n">
        <v>46283</v>
      </c>
      <c r="I12" s="11" t="n">
        <v>46295</v>
      </c>
      <c r="J12" s="2" t="n">
        <f aca="false">IF(I12="","",I12-H12)</f>
        <v>12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40</v>
      </c>
      <c r="D13" s="2" t="s">
        <v>68</v>
      </c>
      <c r="E13" s="2" t="s">
        <v>15</v>
      </c>
      <c r="F13" s="2" t="s">
        <v>8</v>
      </c>
      <c r="G13" s="2" t="s">
        <v>49</v>
      </c>
      <c r="H13" s="11" t="n">
        <v>46204</v>
      </c>
      <c r="I13" s="11" t="n">
        <v>46211</v>
      </c>
      <c r="J13" s="2" t="n">
        <f aca="false">IF(I13="","",I13-H13)</f>
        <v>7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35</v>
      </c>
      <c r="D14" s="2" t="s">
        <v>36</v>
      </c>
      <c r="E14" s="2" t="s">
        <v>15</v>
      </c>
      <c r="F14" s="2" t="s">
        <v>8</v>
      </c>
      <c r="G14" s="2" t="s">
        <v>49</v>
      </c>
      <c r="H14" s="11" t="n">
        <v>46299</v>
      </c>
      <c r="I14" s="11" t="n">
        <v>46309</v>
      </c>
      <c r="J14" s="2" t="n">
        <f aca="false">IF(I14="","",I14-H14)</f>
        <v>10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54</v>
      </c>
      <c r="D15" s="2" t="s">
        <v>48</v>
      </c>
      <c r="E15" s="2" t="s">
        <v>15</v>
      </c>
      <c r="F15" s="2" t="s">
        <v>7</v>
      </c>
      <c r="G15" s="2" t="s">
        <v>49</v>
      </c>
      <c r="H15" s="11" t="n">
        <v>46250</v>
      </c>
      <c r="I15" s="11" t="n">
        <v>46261</v>
      </c>
      <c r="J15" s="2" t="n">
        <f aca="false">IF(I15="","",I15-H15)</f>
        <v>11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40</v>
      </c>
      <c r="D16" s="2" t="s">
        <v>68</v>
      </c>
      <c r="E16" s="2" t="s">
        <v>15</v>
      </c>
      <c r="F16" s="2" t="s">
        <v>8</v>
      </c>
      <c r="G16" s="2" t="s">
        <v>37</v>
      </c>
      <c r="H16" s="11" t="n">
        <v>46235</v>
      </c>
      <c r="I16" s="11" t="n">
        <v>46247</v>
      </c>
      <c r="J16" s="2" t="n">
        <f aca="false">IF(I16="","",I16-H16)</f>
        <v>12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58</v>
      </c>
      <c r="D17" s="2" t="s">
        <v>41</v>
      </c>
      <c r="E17" s="2" t="s">
        <v>16</v>
      </c>
      <c r="F17" s="2" t="s">
        <v>7</v>
      </c>
      <c r="G17" s="2" t="s">
        <v>55</v>
      </c>
      <c r="H17" s="11" t="n">
        <v>46294</v>
      </c>
      <c r="I17" s="11" t="n">
        <v>46306</v>
      </c>
      <c r="J17" s="2" t="n">
        <f aca="false">IF(I17="","",I17-H17)</f>
        <v>12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2" t="s">
        <v>58</v>
      </c>
      <c r="D18" s="2" t="s">
        <v>36</v>
      </c>
      <c r="E18" s="2" t="s">
        <v>15</v>
      </c>
      <c r="F18" s="2" t="s">
        <v>8</v>
      </c>
      <c r="G18" s="2" t="s">
        <v>42</v>
      </c>
      <c r="H18" s="11" t="n">
        <v>46264</v>
      </c>
      <c r="I18" s="11" t="n">
        <v>46270</v>
      </c>
      <c r="J18" s="2" t="n">
        <f aca="false">IF(I18="","",I18-H18)</f>
        <v>6</v>
      </c>
    </row>
    <row r="19" customFormat="false" ht="15" hidden="false" customHeight="false" outlineLevel="0" collapsed="false">
      <c r="A19" s="2" t="s">
        <v>79</v>
      </c>
      <c r="B19" s="2" t="s">
        <v>80</v>
      </c>
      <c r="C19" s="2" t="s">
        <v>58</v>
      </c>
      <c r="D19" s="2" t="s">
        <v>41</v>
      </c>
      <c r="E19" s="2" t="s">
        <v>15</v>
      </c>
      <c r="F19" s="2" t="s">
        <v>7</v>
      </c>
      <c r="G19" s="2" t="s">
        <v>42</v>
      </c>
      <c r="H19" s="11" t="n">
        <v>46283</v>
      </c>
      <c r="I19" s="11" t="n">
        <v>46289</v>
      </c>
      <c r="J19" s="2" t="n">
        <f aca="false">IF(I19="","",I19-H19)</f>
        <v>6</v>
      </c>
    </row>
    <row r="20" customFormat="false" ht="15" hidden="false" customHeight="false" outlineLevel="0" collapsed="false">
      <c r="A20" s="2" t="s">
        <v>81</v>
      </c>
      <c r="B20" s="2" t="s">
        <v>82</v>
      </c>
      <c r="C20" s="2" t="s">
        <v>45</v>
      </c>
      <c r="D20" s="2" t="s">
        <v>41</v>
      </c>
      <c r="E20" s="2" t="s">
        <v>16</v>
      </c>
      <c r="F20" s="2" t="s">
        <v>7</v>
      </c>
      <c r="G20" s="2" t="s">
        <v>49</v>
      </c>
      <c r="H20" s="11" t="n">
        <v>46263</v>
      </c>
      <c r="I20" s="11" t="n">
        <v>46268</v>
      </c>
      <c r="J20" s="2" t="n">
        <f aca="false">IF(I20="","",I20-H20)</f>
        <v>5</v>
      </c>
    </row>
    <row r="21" customFormat="false" ht="15" hidden="false" customHeight="false" outlineLevel="0" collapsed="false">
      <c r="A21" s="2" t="s">
        <v>83</v>
      </c>
      <c r="B21" s="2" t="s">
        <v>84</v>
      </c>
      <c r="C21" s="2" t="s">
        <v>54</v>
      </c>
      <c r="D21" s="2" t="s">
        <v>41</v>
      </c>
      <c r="E21" s="2" t="s">
        <v>15</v>
      </c>
      <c r="F21" s="2" t="s">
        <v>6</v>
      </c>
      <c r="G21" s="2" t="s">
        <v>49</v>
      </c>
      <c r="H21" s="11" t="n">
        <v>46305</v>
      </c>
      <c r="I21" s="11"/>
      <c r="J21" s="2" t="str">
        <f aca="false">IF(I21="","",I21-H21)</f>
        <v/>
      </c>
    </row>
    <row r="22" customFormat="false" ht="15" hidden="false" customHeight="false" outlineLevel="0" collapsed="false">
      <c r="A22" s="2" t="s">
        <v>85</v>
      </c>
      <c r="B22" s="2" t="s">
        <v>86</v>
      </c>
      <c r="C22" s="2" t="s">
        <v>54</v>
      </c>
      <c r="D22" s="2" t="s">
        <v>36</v>
      </c>
      <c r="E22" s="2" t="s">
        <v>15</v>
      </c>
      <c r="F22" s="2" t="s">
        <v>8</v>
      </c>
      <c r="G22" s="2" t="s">
        <v>42</v>
      </c>
      <c r="H22" s="11" t="n">
        <v>46215</v>
      </c>
      <c r="I22" s="11" t="n">
        <v>46225</v>
      </c>
      <c r="J22" s="2" t="n">
        <f aca="false">IF(I22="","",I22-H22)</f>
        <v>10</v>
      </c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54</v>
      </c>
      <c r="D23" s="2" t="s">
        <v>36</v>
      </c>
      <c r="E23" s="2" t="s">
        <v>15</v>
      </c>
      <c r="F23" s="2" t="s">
        <v>8</v>
      </c>
      <c r="G23" s="2" t="s">
        <v>55</v>
      </c>
      <c r="H23" s="11" t="n">
        <v>46258</v>
      </c>
      <c r="I23" s="11" t="n">
        <v>46270</v>
      </c>
      <c r="J23" s="2" t="n">
        <f aca="false">IF(I23="","",I23-H23)</f>
        <v>12</v>
      </c>
    </row>
    <row r="24" customFormat="false" ht="15" hidden="false" customHeight="false" outlineLevel="0" collapsed="false">
      <c r="A24" s="2" t="s">
        <v>89</v>
      </c>
      <c r="B24" s="2" t="s">
        <v>90</v>
      </c>
      <c r="C24" s="2" t="s">
        <v>54</v>
      </c>
      <c r="D24" s="2" t="s">
        <v>48</v>
      </c>
      <c r="E24" s="2" t="s">
        <v>15</v>
      </c>
      <c r="F24" s="2" t="s">
        <v>7</v>
      </c>
      <c r="G24" s="2" t="s">
        <v>37</v>
      </c>
      <c r="H24" s="11" t="n">
        <v>46206</v>
      </c>
      <c r="I24" s="11" t="n">
        <v>46216</v>
      </c>
      <c r="J24" s="2" t="n">
        <f aca="false">IF(I24="","",I24-H24)</f>
        <v>10</v>
      </c>
    </row>
    <row r="25" customFormat="false" ht="15" hidden="false" customHeight="false" outlineLevel="0" collapsed="false">
      <c r="A25" s="2" t="s">
        <v>91</v>
      </c>
      <c r="B25" s="2" t="s">
        <v>92</v>
      </c>
      <c r="C25" s="2" t="s">
        <v>54</v>
      </c>
      <c r="D25" s="2" t="s">
        <v>68</v>
      </c>
      <c r="E25" s="2" t="s">
        <v>15</v>
      </c>
      <c r="F25" s="2" t="s">
        <v>7</v>
      </c>
      <c r="G25" s="2" t="s">
        <v>37</v>
      </c>
      <c r="H25" s="11" t="n">
        <v>46238</v>
      </c>
      <c r="I25" s="11" t="n">
        <v>46246</v>
      </c>
      <c r="J25" s="2" t="n">
        <f aca="false">IF(I25="","",I25-H25)</f>
        <v>8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54</v>
      </c>
      <c r="D26" s="2" t="s">
        <v>36</v>
      </c>
      <c r="E26" s="2" t="s">
        <v>17</v>
      </c>
      <c r="F26" s="2" t="s">
        <v>6</v>
      </c>
      <c r="G26" s="2" t="s">
        <v>42</v>
      </c>
      <c r="H26" s="11" t="n">
        <v>46230</v>
      </c>
      <c r="I26" s="11"/>
      <c r="J26" s="2" t="str">
        <f aca="false">IF(I26="","",I26-H26)</f>
        <v/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54</v>
      </c>
      <c r="D27" s="2" t="s">
        <v>48</v>
      </c>
      <c r="E27" s="2" t="s">
        <v>15</v>
      </c>
      <c r="F27" s="2" t="s">
        <v>6</v>
      </c>
      <c r="G27" s="2" t="s">
        <v>37</v>
      </c>
      <c r="H27" s="11" t="n">
        <v>46322</v>
      </c>
      <c r="I27" s="11"/>
      <c r="J27" s="2" t="str">
        <f aca="false">IF(I27="","",I27-H27)</f>
        <v/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35</v>
      </c>
      <c r="D28" s="2" t="s">
        <v>41</v>
      </c>
      <c r="E28" s="2" t="s">
        <v>17</v>
      </c>
      <c r="F28" s="2" t="s">
        <v>7</v>
      </c>
      <c r="G28" s="2" t="s">
        <v>55</v>
      </c>
      <c r="H28" s="11" t="n">
        <v>46291</v>
      </c>
      <c r="I28" s="11" t="n">
        <v>46299</v>
      </c>
      <c r="J28" s="2" t="n">
        <f aca="false">IF(I28="","",I28-H28)</f>
        <v>8</v>
      </c>
    </row>
    <row r="29" customFormat="false" ht="15" hidden="false" customHeight="false" outlineLevel="0" collapsed="false">
      <c r="A29" s="2" t="s">
        <v>99</v>
      </c>
      <c r="B29" s="2" t="s">
        <v>92</v>
      </c>
      <c r="C29" s="2" t="s">
        <v>40</v>
      </c>
      <c r="D29" s="2" t="s">
        <v>36</v>
      </c>
      <c r="E29" s="2" t="s">
        <v>15</v>
      </c>
      <c r="F29" s="2" t="s">
        <v>7</v>
      </c>
      <c r="G29" s="2" t="s">
        <v>49</v>
      </c>
      <c r="H29" s="11" t="n">
        <v>46261</v>
      </c>
      <c r="I29" s="11" t="n">
        <v>46265</v>
      </c>
      <c r="J29" s="2" t="n">
        <f aca="false">IF(I29="","",I29-H29)</f>
        <v>4</v>
      </c>
    </row>
    <row r="30" customFormat="false" ht="15" hidden="false" customHeight="false" outlineLevel="0" collapsed="false">
      <c r="A30" s="2" t="s">
        <v>100</v>
      </c>
      <c r="B30" s="2" t="s">
        <v>67</v>
      </c>
      <c r="C30" s="2" t="s">
        <v>45</v>
      </c>
      <c r="D30" s="2" t="s">
        <v>48</v>
      </c>
      <c r="E30" s="2" t="s">
        <v>15</v>
      </c>
      <c r="F30" s="2" t="s">
        <v>8</v>
      </c>
      <c r="G30" s="2" t="s">
        <v>37</v>
      </c>
      <c r="H30" s="11" t="n">
        <v>46276</v>
      </c>
      <c r="I30" s="11" t="n">
        <v>46277</v>
      </c>
      <c r="J30" s="2" t="n">
        <f aca="false">IF(I30="","",I30-H30)</f>
        <v>1</v>
      </c>
    </row>
    <row r="31" customFormat="false" ht="15" hidden="false" customHeight="false" outlineLevel="0" collapsed="false">
      <c r="A31" s="2" t="s">
        <v>101</v>
      </c>
      <c r="B31" s="2" t="s">
        <v>102</v>
      </c>
      <c r="C31" s="2" t="s">
        <v>54</v>
      </c>
      <c r="D31" s="2" t="s">
        <v>48</v>
      </c>
      <c r="E31" s="2" t="s">
        <v>15</v>
      </c>
      <c r="F31" s="2" t="s">
        <v>7</v>
      </c>
      <c r="G31" s="2" t="s">
        <v>49</v>
      </c>
      <c r="H31" s="11" t="n">
        <v>46261</v>
      </c>
      <c r="I31" s="11" t="n">
        <v>46268</v>
      </c>
      <c r="J31" s="2" t="n">
        <f aca="false">IF(I31="","",I31-H31)</f>
        <v>7</v>
      </c>
    </row>
    <row r="32" customFormat="false" ht="15" hidden="false" customHeight="false" outlineLevel="0" collapsed="false">
      <c r="A32" s="2" t="s">
        <v>103</v>
      </c>
      <c r="B32" s="2" t="s">
        <v>104</v>
      </c>
      <c r="C32" s="2" t="s">
        <v>54</v>
      </c>
      <c r="D32" s="2" t="s">
        <v>68</v>
      </c>
      <c r="E32" s="2" t="s">
        <v>16</v>
      </c>
      <c r="F32" s="2" t="s">
        <v>8</v>
      </c>
      <c r="G32" s="2" t="s">
        <v>42</v>
      </c>
      <c r="H32" s="11" t="n">
        <v>46291</v>
      </c>
      <c r="I32" s="11" t="n">
        <v>46294</v>
      </c>
      <c r="J32" s="2" t="n">
        <f aca="false">IF(I32="","",I32-H32)</f>
        <v>3</v>
      </c>
    </row>
    <row r="33" customFormat="false" ht="15" hidden="false" customHeight="false" outlineLevel="0" collapsed="false">
      <c r="A33" s="2" t="s">
        <v>105</v>
      </c>
      <c r="B33" s="2" t="s">
        <v>106</v>
      </c>
      <c r="C33" s="2" t="s">
        <v>58</v>
      </c>
      <c r="D33" s="2" t="s">
        <v>41</v>
      </c>
      <c r="E33" s="2" t="s">
        <v>16</v>
      </c>
      <c r="F33" s="2" t="s">
        <v>7</v>
      </c>
      <c r="G33" s="2" t="s">
        <v>37</v>
      </c>
      <c r="H33" s="11" t="n">
        <v>46234</v>
      </c>
      <c r="I33" s="11" t="n">
        <v>46242</v>
      </c>
      <c r="J33" s="2" t="n">
        <f aca="false">IF(I33="","",I33-H33)</f>
        <v>8</v>
      </c>
    </row>
    <row r="34" customFormat="false" ht="15" hidden="false" customHeight="false" outlineLevel="0" collapsed="false">
      <c r="A34" s="2" t="s">
        <v>107</v>
      </c>
      <c r="B34" s="2" t="s">
        <v>108</v>
      </c>
      <c r="C34" s="2" t="s">
        <v>35</v>
      </c>
      <c r="D34" s="2" t="s">
        <v>68</v>
      </c>
      <c r="E34" s="2" t="s">
        <v>15</v>
      </c>
      <c r="F34" s="2" t="s">
        <v>7</v>
      </c>
      <c r="G34" s="2" t="s">
        <v>49</v>
      </c>
      <c r="H34" s="11" t="n">
        <v>46216</v>
      </c>
      <c r="I34" s="11" t="n">
        <v>46227</v>
      </c>
      <c r="J34" s="2" t="n">
        <f aca="false">IF(I34="","",I34-H34)</f>
        <v>11</v>
      </c>
    </row>
    <row r="35" customFormat="false" ht="15" hidden="false" customHeight="false" outlineLevel="0" collapsed="false">
      <c r="A35" s="2" t="s">
        <v>109</v>
      </c>
      <c r="B35" s="2" t="s">
        <v>110</v>
      </c>
      <c r="C35" s="2" t="s">
        <v>54</v>
      </c>
      <c r="D35" s="2" t="s">
        <v>48</v>
      </c>
      <c r="E35" s="2" t="s">
        <v>15</v>
      </c>
      <c r="F35" s="2" t="s">
        <v>7</v>
      </c>
      <c r="G35" s="2" t="s">
        <v>55</v>
      </c>
      <c r="H35" s="11" t="n">
        <v>46264</v>
      </c>
      <c r="I35" s="11" t="n">
        <v>46266</v>
      </c>
      <c r="J35" s="2" t="n">
        <f aca="false">IF(I35="","",I35-H35)</f>
        <v>2</v>
      </c>
    </row>
    <row r="36" customFormat="false" ht="15" hidden="false" customHeight="false" outlineLevel="0" collapsed="false">
      <c r="A36" s="2" t="s">
        <v>111</v>
      </c>
      <c r="B36" s="2" t="s">
        <v>112</v>
      </c>
      <c r="C36" s="2" t="s">
        <v>35</v>
      </c>
      <c r="D36" s="2" t="s">
        <v>48</v>
      </c>
      <c r="E36" s="2" t="s">
        <v>16</v>
      </c>
      <c r="F36" s="2" t="s">
        <v>8</v>
      </c>
      <c r="G36" s="2" t="s">
        <v>42</v>
      </c>
      <c r="H36" s="11" t="n">
        <v>46279</v>
      </c>
      <c r="I36" s="11" t="n">
        <v>46281</v>
      </c>
      <c r="J36" s="2" t="n">
        <f aca="false">IF(I36="","",I36-H36)</f>
        <v>2</v>
      </c>
    </row>
    <row r="37" customFormat="false" ht="15" hidden="false" customHeight="false" outlineLevel="0" collapsed="false">
      <c r="A37" s="2" t="s">
        <v>113</v>
      </c>
      <c r="B37" s="2" t="s">
        <v>114</v>
      </c>
      <c r="C37" s="2" t="s">
        <v>45</v>
      </c>
      <c r="D37" s="2" t="s">
        <v>41</v>
      </c>
      <c r="E37" s="2" t="s">
        <v>15</v>
      </c>
      <c r="F37" s="2" t="s">
        <v>6</v>
      </c>
      <c r="G37" s="2" t="s">
        <v>55</v>
      </c>
      <c r="H37" s="11" t="n">
        <v>46321</v>
      </c>
      <c r="I37" s="11"/>
      <c r="J37" s="2" t="str">
        <f aca="false">IF(I37="","",I37-H37)</f>
        <v/>
      </c>
    </row>
    <row r="38" customFormat="false" ht="15" hidden="false" customHeight="false" outlineLevel="0" collapsed="false">
      <c r="A38" s="2" t="s">
        <v>115</v>
      </c>
      <c r="B38" s="2" t="s">
        <v>62</v>
      </c>
      <c r="C38" s="2" t="s">
        <v>58</v>
      </c>
      <c r="D38" s="2" t="s">
        <v>68</v>
      </c>
      <c r="E38" s="2" t="s">
        <v>15</v>
      </c>
      <c r="F38" s="2" t="s">
        <v>7</v>
      </c>
      <c r="G38" s="2" t="s">
        <v>42</v>
      </c>
      <c r="H38" s="11" t="n">
        <v>46266</v>
      </c>
      <c r="I38" s="11" t="n">
        <v>46271</v>
      </c>
      <c r="J38" s="2" t="n">
        <f aca="false">IF(I38="","",I38-H38)</f>
        <v>5</v>
      </c>
    </row>
    <row r="39" customFormat="false" ht="15" hidden="false" customHeight="false" outlineLevel="0" collapsed="false">
      <c r="A39" s="2" t="s">
        <v>116</v>
      </c>
      <c r="B39" s="2" t="s">
        <v>117</v>
      </c>
      <c r="C39" s="2" t="s">
        <v>35</v>
      </c>
      <c r="D39" s="2" t="s">
        <v>48</v>
      </c>
      <c r="E39" s="2" t="s">
        <v>16</v>
      </c>
      <c r="F39" s="2" t="s">
        <v>6</v>
      </c>
      <c r="G39" s="2" t="s">
        <v>55</v>
      </c>
      <c r="H39" s="11" t="n">
        <v>46322</v>
      </c>
      <c r="I39" s="11"/>
      <c r="J39" s="2" t="str">
        <f aca="false">IF(I39="","",I39-H39)</f>
        <v/>
      </c>
    </row>
    <row r="40" customFormat="false" ht="15" hidden="false" customHeight="false" outlineLevel="0" collapsed="false">
      <c r="A40" s="2" t="s">
        <v>118</v>
      </c>
      <c r="B40" s="2" t="s">
        <v>119</v>
      </c>
      <c r="C40" s="2" t="s">
        <v>35</v>
      </c>
      <c r="D40" s="2" t="s">
        <v>48</v>
      </c>
      <c r="E40" s="2" t="s">
        <v>15</v>
      </c>
      <c r="F40" s="2" t="s">
        <v>7</v>
      </c>
      <c r="G40" s="2" t="s">
        <v>55</v>
      </c>
      <c r="H40" s="11" t="n">
        <v>46252</v>
      </c>
      <c r="I40" s="11" t="n">
        <v>46255</v>
      </c>
      <c r="J40" s="2" t="n">
        <f aca="false">IF(I40="","",I40-H40)</f>
        <v>3</v>
      </c>
    </row>
    <row r="41" customFormat="false" ht="15" hidden="false" customHeight="false" outlineLevel="0" collapsed="false">
      <c r="A41" s="2" t="s">
        <v>120</v>
      </c>
      <c r="B41" s="2" t="s">
        <v>121</v>
      </c>
      <c r="C41" s="2" t="s">
        <v>35</v>
      </c>
      <c r="D41" s="2" t="s">
        <v>68</v>
      </c>
      <c r="E41" s="2" t="s">
        <v>16</v>
      </c>
      <c r="F41" s="2" t="s">
        <v>7</v>
      </c>
      <c r="G41" s="2" t="s">
        <v>42</v>
      </c>
      <c r="H41" s="11" t="n">
        <v>46313</v>
      </c>
      <c r="I41" s="11" t="n">
        <v>46314</v>
      </c>
      <c r="J41" s="2" t="n">
        <f aca="false">IF(I41="","",I41-H41)</f>
        <v>1</v>
      </c>
    </row>
    <row r="42" customFormat="false" ht="15" hidden="false" customHeight="false" outlineLevel="0" collapsed="false">
      <c r="A42" s="2" t="s">
        <v>122</v>
      </c>
      <c r="B42" s="2" t="s">
        <v>123</v>
      </c>
      <c r="C42" s="2" t="s">
        <v>58</v>
      </c>
      <c r="D42" s="2" t="s">
        <v>68</v>
      </c>
      <c r="E42" s="2" t="s">
        <v>15</v>
      </c>
      <c r="F42" s="2" t="s">
        <v>8</v>
      </c>
      <c r="G42" s="2" t="s">
        <v>37</v>
      </c>
      <c r="H42" s="11" t="n">
        <v>46281</v>
      </c>
      <c r="I42" s="11" t="n">
        <v>46293</v>
      </c>
      <c r="J42" s="2" t="n">
        <f aca="false">IF(I42="","",I42-H42)</f>
        <v>12</v>
      </c>
    </row>
    <row r="43" customFormat="false" ht="15" hidden="false" customHeight="false" outlineLevel="0" collapsed="false">
      <c r="A43" s="2" t="s">
        <v>124</v>
      </c>
      <c r="B43" s="2" t="s">
        <v>125</v>
      </c>
      <c r="C43" s="2" t="s">
        <v>35</v>
      </c>
      <c r="D43" s="2" t="s">
        <v>36</v>
      </c>
      <c r="E43" s="2" t="s">
        <v>16</v>
      </c>
      <c r="F43" s="2" t="s">
        <v>7</v>
      </c>
      <c r="G43" s="2" t="s">
        <v>55</v>
      </c>
      <c r="H43" s="11" t="n">
        <v>46232</v>
      </c>
      <c r="I43" s="11" t="n">
        <v>46235</v>
      </c>
      <c r="J43" s="2" t="n">
        <f aca="false">IF(I43="","",I43-H43)</f>
        <v>3</v>
      </c>
    </row>
    <row r="44" customFormat="false" ht="15" hidden="false" customHeight="false" outlineLevel="0" collapsed="false">
      <c r="A44" s="2" t="s">
        <v>126</v>
      </c>
      <c r="B44" s="2" t="s">
        <v>53</v>
      </c>
      <c r="C44" s="2" t="s">
        <v>35</v>
      </c>
      <c r="D44" s="2" t="s">
        <v>68</v>
      </c>
      <c r="E44" s="2" t="s">
        <v>15</v>
      </c>
      <c r="F44" s="2" t="s">
        <v>6</v>
      </c>
      <c r="G44" s="2" t="s">
        <v>55</v>
      </c>
      <c r="H44" s="11" t="n">
        <v>46225</v>
      </c>
      <c r="I44" s="11"/>
      <c r="J44" s="2" t="str">
        <f aca="false">IF(I44="","",I44-H44)</f>
        <v/>
      </c>
    </row>
    <row r="45" customFormat="false" ht="15" hidden="false" customHeight="false" outlineLevel="0" collapsed="false">
      <c r="A45" s="2" t="s">
        <v>127</v>
      </c>
      <c r="B45" s="2" t="s">
        <v>128</v>
      </c>
      <c r="C45" s="2" t="s">
        <v>58</v>
      </c>
      <c r="D45" s="2" t="s">
        <v>41</v>
      </c>
      <c r="E45" s="2" t="s">
        <v>15</v>
      </c>
      <c r="F45" s="2" t="s">
        <v>7</v>
      </c>
      <c r="G45" s="2" t="s">
        <v>42</v>
      </c>
      <c r="H45" s="11" t="n">
        <v>46265</v>
      </c>
      <c r="I45" s="11" t="n">
        <v>46266</v>
      </c>
      <c r="J45" s="2" t="n">
        <f aca="false">IF(I45="","",I45-H45)</f>
        <v>1</v>
      </c>
    </row>
    <row r="46" customFormat="false" ht="15" hidden="false" customHeight="false" outlineLevel="0" collapsed="false">
      <c r="A46" s="2" t="s">
        <v>129</v>
      </c>
      <c r="B46" s="2" t="s">
        <v>130</v>
      </c>
      <c r="C46" s="2" t="s">
        <v>54</v>
      </c>
      <c r="D46" s="2" t="s">
        <v>48</v>
      </c>
      <c r="E46" s="2" t="s">
        <v>15</v>
      </c>
      <c r="F46" s="2" t="s">
        <v>7</v>
      </c>
      <c r="G46" s="2" t="s">
        <v>42</v>
      </c>
      <c r="H46" s="11" t="n">
        <v>46217</v>
      </c>
      <c r="I46" s="11" t="n">
        <v>46218</v>
      </c>
      <c r="J46" s="2" t="n">
        <f aca="false">IF(I46="","",I46-H46)</f>
        <v>1</v>
      </c>
    </row>
    <row r="47" customFormat="false" ht="15" hidden="false" customHeight="false" outlineLevel="0" collapsed="false">
      <c r="A47" s="2" t="s">
        <v>131</v>
      </c>
      <c r="B47" s="2" t="s">
        <v>130</v>
      </c>
      <c r="C47" s="2" t="s">
        <v>45</v>
      </c>
      <c r="D47" s="2" t="s">
        <v>36</v>
      </c>
      <c r="E47" s="2" t="s">
        <v>16</v>
      </c>
      <c r="F47" s="2" t="s">
        <v>6</v>
      </c>
      <c r="G47" s="2" t="s">
        <v>42</v>
      </c>
      <c r="H47" s="11" t="n">
        <v>46312</v>
      </c>
      <c r="I47" s="11"/>
      <c r="J47" s="2" t="str">
        <f aca="false">IF(I47="","",I47-H47)</f>
        <v/>
      </c>
    </row>
    <row r="48" customFormat="false" ht="15" hidden="false" customHeight="false" outlineLevel="0" collapsed="false">
      <c r="A48" s="2" t="s">
        <v>132</v>
      </c>
      <c r="B48" s="2" t="s">
        <v>133</v>
      </c>
      <c r="C48" s="2" t="s">
        <v>54</v>
      </c>
      <c r="D48" s="2" t="s">
        <v>68</v>
      </c>
      <c r="E48" s="2" t="s">
        <v>16</v>
      </c>
      <c r="F48" s="2" t="s">
        <v>7</v>
      </c>
      <c r="G48" s="2" t="s">
        <v>49</v>
      </c>
      <c r="H48" s="11" t="n">
        <v>46279</v>
      </c>
      <c r="I48" s="11" t="n">
        <v>46291</v>
      </c>
      <c r="J48" s="2" t="n">
        <f aca="false">IF(I48="","",I48-H48)</f>
        <v>12</v>
      </c>
    </row>
    <row r="49" customFormat="false" ht="15" hidden="false" customHeight="false" outlineLevel="0" collapsed="false">
      <c r="A49" s="2" t="s">
        <v>134</v>
      </c>
      <c r="B49" s="2" t="s">
        <v>135</v>
      </c>
      <c r="C49" s="2" t="s">
        <v>40</v>
      </c>
      <c r="D49" s="2" t="s">
        <v>41</v>
      </c>
      <c r="E49" s="2" t="s">
        <v>16</v>
      </c>
      <c r="F49" s="2" t="s">
        <v>7</v>
      </c>
      <c r="G49" s="2" t="s">
        <v>37</v>
      </c>
      <c r="H49" s="11" t="n">
        <v>46210</v>
      </c>
      <c r="I49" s="11" t="n">
        <v>46218</v>
      </c>
      <c r="J49" s="2" t="n">
        <f aca="false">IF(I49="","",I49-H49)</f>
        <v>8</v>
      </c>
    </row>
    <row r="50" customFormat="false" ht="15" hidden="false" customHeight="false" outlineLevel="0" collapsed="false">
      <c r="A50" s="2" t="s">
        <v>136</v>
      </c>
      <c r="B50" s="2" t="s">
        <v>137</v>
      </c>
      <c r="C50" s="2" t="s">
        <v>58</v>
      </c>
      <c r="D50" s="2" t="s">
        <v>68</v>
      </c>
      <c r="E50" s="2" t="s">
        <v>17</v>
      </c>
      <c r="F50" s="2" t="s">
        <v>7</v>
      </c>
      <c r="G50" s="2" t="s">
        <v>55</v>
      </c>
      <c r="H50" s="11" t="n">
        <v>46300</v>
      </c>
      <c r="I50" s="11" t="n">
        <v>46304</v>
      </c>
      <c r="J50" s="2" t="n">
        <f aca="false">IF(I50="","",I50-H50)</f>
        <v>4</v>
      </c>
    </row>
    <row r="51" customFormat="false" ht="15" hidden="false" customHeight="false" outlineLevel="0" collapsed="false">
      <c r="A51" s="2" t="s">
        <v>138</v>
      </c>
      <c r="B51" s="2" t="s">
        <v>139</v>
      </c>
      <c r="C51" s="2" t="s">
        <v>35</v>
      </c>
      <c r="D51" s="2" t="s">
        <v>36</v>
      </c>
      <c r="E51" s="2" t="s">
        <v>15</v>
      </c>
      <c r="F51" s="2" t="s">
        <v>7</v>
      </c>
      <c r="G51" s="2" t="s">
        <v>49</v>
      </c>
      <c r="H51" s="11" t="n">
        <v>46251</v>
      </c>
      <c r="I51" s="11" t="n">
        <v>46260</v>
      </c>
      <c r="J51" s="2" t="n">
        <f aca="false">IF(I51="","",I51-H51)</f>
        <v>9</v>
      </c>
    </row>
    <row r="52" customFormat="false" ht="15" hidden="false" customHeight="false" outlineLevel="0" collapsed="false">
      <c r="A52" s="2" t="s">
        <v>140</v>
      </c>
      <c r="B52" s="2" t="s">
        <v>141</v>
      </c>
      <c r="C52" s="2" t="s">
        <v>54</v>
      </c>
      <c r="D52" s="2" t="s">
        <v>48</v>
      </c>
      <c r="E52" s="2" t="s">
        <v>16</v>
      </c>
      <c r="F52" s="2" t="s">
        <v>7</v>
      </c>
      <c r="G52" s="2" t="s">
        <v>37</v>
      </c>
      <c r="H52" s="11" t="n">
        <v>46244</v>
      </c>
      <c r="I52" s="11" t="n">
        <v>46254</v>
      </c>
      <c r="J52" s="2" t="n">
        <f aca="false">IF(I52="","",I52-H52)</f>
        <v>10</v>
      </c>
    </row>
    <row r="53" customFormat="false" ht="15" hidden="false" customHeight="false" outlineLevel="0" collapsed="false">
      <c r="A53" s="2" t="s">
        <v>142</v>
      </c>
      <c r="B53" s="2" t="s">
        <v>96</v>
      </c>
      <c r="C53" s="2" t="s">
        <v>58</v>
      </c>
      <c r="D53" s="2" t="s">
        <v>36</v>
      </c>
      <c r="E53" s="2" t="s">
        <v>16</v>
      </c>
      <c r="F53" s="2" t="s">
        <v>7</v>
      </c>
      <c r="G53" s="2" t="s">
        <v>37</v>
      </c>
      <c r="H53" s="11" t="n">
        <v>46290</v>
      </c>
      <c r="I53" s="11" t="n">
        <v>46298</v>
      </c>
      <c r="J53" s="2" t="n">
        <f aca="false">IF(I53="","",I53-H53)</f>
        <v>8</v>
      </c>
    </row>
    <row r="54" customFormat="false" ht="15" hidden="false" customHeight="false" outlineLevel="0" collapsed="false">
      <c r="A54" s="2" t="s">
        <v>143</v>
      </c>
      <c r="B54" s="2" t="s">
        <v>144</v>
      </c>
      <c r="C54" s="2" t="s">
        <v>54</v>
      </c>
      <c r="D54" s="2" t="s">
        <v>36</v>
      </c>
      <c r="E54" s="2" t="s">
        <v>16</v>
      </c>
      <c r="F54" s="2" t="s">
        <v>7</v>
      </c>
      <c r="G54" s="2" t="s">
        <v>37</v>
      </c>
      <c r="H54" s="11" t="n">
        <v>46249</v>
      </c>
      <c r="I54" s="11" t="n">
        <v>46250</v>
      </c>
      <c r="J54" s="2" t="n">
        <f aca="false">IF(I54="","",I54-H54)</f>
        <v>1</v>
      </c>
    </row>
    <row r="55" customFormat="false" ht="15" hidden="false" customHeight="false" outlineLevel="0" collapsed="false">
      <c r="A55" s="2" t="s">
        <v>145</v>
      </c>
      <c r="B55" s="2" t="s">
        <v>146</v>
      </c>
      <c r="C55" s="2" t="s">
        <v>35</v>
      </c>
      <c r="D55" s="2" t="s">
        <v>41</v>
      </c>
      <c r="E55" s="2" t="s">
        <v>15</v>
      </c>
      <c r="F55" s="2" t="s">
        <v>7</v>
      </c>
      <c r="G55" s="2" t="s">
        <v>55</v>
      </c>
      <c r="H55" s="11" t="n">
        <v>46233</v>
      </c>
      <c r="I55" s="11" t="n">
        <v>46240</v>
      </c>
      <c r="J55" s="2" t="n">
        <f aca="false">IF(I55="","",I55-H55)</f>
        <v>7</v>
      </c>
    </row>
    <row r="56" customFormat="false" ht="15" hidden="false" customHeight="false" outlineLevel="0" collapsed="false">
      <c r="A56" s="2" t="s">
        <v>147</v>
      </c>
      <c r="B56" s="2" t="s">
        <v>62</v>
      </c>
      <c r="C56" s="2" t="s">
        <v>45</v>
      </c>
      <c r="D56" s="2" t="s">
        <v>36</v>
      </c>
      <c r="E56" s="2" t="s">
        <v>16</v>
      </c>
      <c r="F56" s="2" t="s">
        <v>8</v>
      </c>
      <c r="G56" s="2" t="s">
        <v>49</v>
      </c>
      <c r="H56" s="11" t="n">
        <v>46279</v>
      </c>
      <c r="I56" s="11" t="n">
        <v>46284</v>
      </c>
      <c r="J56" s="2" t="n">
        <f aca="false">IF(I56="","",I56-H56)</f>
        <v>5</v>
      </c>
    </row>
    <row r="57" customFormat="false" ht="15" hidden="false" customHeight="false" outlineLevel="0" collapsed="false">
      <c r="A57" s="2" t="s">
        <v>148</v>
      </c>
      <c r="B57" s="2" t="s">
        <v>149</v>
      </c>
      <c r="C57" s="2" t="s">
        <v>54</v>
      </c>
      <c r="D57" s="2" t="s">
        <v>68</v>
      </c>
      <c r="E57" s="2" t="s">
        <v>15</v>
      </c>
      <c r="F57" s="2" t="s">
        <v>7</v>
      </c>
      <c r="G57" s="2" t="s">
        <v>55</v>
      </c>
      <c r="H57" s="11" t="n">
        <v>46309</v>
      </c>
      <c r="I57" s="11" t="n">
        <v>46316</v>
      </c>
      <c r="J57" s="2" t="n">
        <f aca="false">IF(I57="","",I57-H57)</f>
        <v>7</v>
      </c>
    </row>
    <row r="58" customFormat="false" ht="15" hidden="false" customHeight="false" outlineLevel="0" collapsed="false">
      <c r="A58" s="2" t="s">
        <v>150</v>
      </c>
      <c r="B58" s="2" t="s">
        <v>151</v>
      </c>
      <c r="C58" s="2" t="s">
        <v>58</v>
      </c>
      <c r="D58" s="2" t="s">
        <v>41</v>
      </c>
      <c r="E58" s="2" t="s">
        <v>15</v>
      </c>
      <c r="F58" s="2" t="s">
        <v>6</v>
      </c>
      <c r="G58" s="2" t="s">
        <v>37</v>
      </c>
      <c r="H58" s="11" t="n">
        <v>46322</v>
      </c>
      <c r="I58" s="11"/>
      <c r="J58" s="2" t="str">
        <f aca="false">IF(I58="","",I58-H58)</f>
        <v/>
      </c>
    </row>
    <row r="59" customFormat="false" ht="15" hidden="false" customHeight="false" outlineLevel="0" collapsed="false">
      <c r="A59" s="2" t="s">
        <v>152</v>
      </c>
      <c r="B59" s="2" t="s">
        <v>90</v>
      </c>
      <c r="C59" s="2" t="s">
        <v>45</v>
      </c>
      <c r="D59" s="2" t="s">
        <v>48</v>
      </c>
      <c r="E59" s="2" t="s">
        <v>15</v>
      </c>
      <c r="F59" s="2" t="s">
        <v>7</v>
      </c>
      <c r="G59" s="2" t="s">
        <v>37</v>
      </c>
      <c r="H59" s="11" t="n">
        <v>46239</v>
      </c>
      <c r="I59" s="11" t="n">
        <v>46245</v>
      </c>
      <c r="J59" s="2" t="n">
        <f aca="false">IF(I59="","",I59-H59)</f>
        <v>6</v>
      </c>
    </row>
    <row r="60" customFormat="false" ht="15" hidden="false" customHeight="false" outlineLevel="0" collapsed="false">
      <c r="A60" s="2" t="s">
        <v>153</v>
      </c>
      <c r="B60" s="2" t="s">
        <v>154</v>
      </c>
      <c r="C60" s="2" t="s">
        <v>35</v>
      </c>
      <c r="D60" s="2" t="s">
        <v>48</v>
      </c>
      <c r="E60" s="2" t="s">
        <v>15</v>
      </c>
      <c r="F60" s="2" t="s">
        <v>7</v>
      </c>
      <c r="G60" s="2" t="s">
        <v>37</v>
      </c>
      <c r="H60" s="11" t="n">
        <v>46246</v>
      </c>
      <c r="I60" s="11" t="n">
        <v>46247</v>
      </c>
      <c r="J60" s="2" t="n">
        <f aca="false">IF(I60="","",I60-H60)</f>
        <v>1</v>
      </c>
    </row>
    <row r="61" customFormat="false" ht="15" hidden="false" customHeight="false" outlineLevel="0" collapsed="false">
      <c r="A61" s="2" t="s">
        <v>155</v>
      </c>
      <c r="B61" s="2" t="s">
        <v>156</v>
      </c>
      <c r="C61" s="2" t="s">
        <v>54</v>
      </c>
      <c r="D61" s="2" t="s">
        <v>48</v>
      </c>
      <c r="E61" s="2" t="s">
        <v>15</v>
      </c>
      <c r="F61" s="2" t="s">
        <v>7</v>
      </c>
      <c r="G61" s="2" t="s">
        <v>55</v>
      </c>
      <c r="H61" s="11" t="n">
        <v>46282</v>
      </c>
      <c r="I61" s="11" t="n">
        <v>46285</v>
      </c>
      <c r="J61" s="2" t="n">
        <f aca="false">IF(I61="","",I61-H61)</f>
        <v>3</v>
      </c>
    </row>
    <row r="62" customFormat="false" ht="15" hidden="false" customHeight="false" outlineLevel="0" collapsed="false">
      <c r="A62" s="2" t="s">
        <v>157</v>
      </c>
      <c r="B62" s="2" t="s">
        <v>84</v>
      </c>
      <c r="C62" s="2" t="s">
        <v>35</v>
      </c>
      <c r="D62" s="2" t="s">
        <v>41</v>
      </c>
      <c r="E62" s="2" t="s">
        <v>16</v>
      </c>
      <c r="F62" s="2" t="s">
        <v>7</v>
      </c>
      <c r="G62" s="2" t="s">
        <v>42</v>
      </c>
      <c r="H62" s="11" t="n">
        <v>46292</v>
      </c>
      <c r="I62" s="11" t="n">
        <v>46303</v>
      </c>
      <c r="J62" s="2" t="n">
        <f aca="false">IF(I62="","",I62-H62)</f>
        <v>11</v>
      </c>
    </row>
    <row r="63" customFormat="false" ht="15" hidden="false" customHeight="false" outlineLevel="0" collapsed="false">
      <c r="A63" s="2" t="s">
        <v>158</v>
      </c>
      <c r="B63" s="2" t="s">
        <v>159</v>
      </c>
      <c r="C63" s="2" t="s">
        <v>35</v>
      </c>
      <c r="D63" s="2" t="s">
        <v>36</v>
      </c>
      <c r="E63" s="2" t="s">
        <v>16</v>
      </c>
      <c r="F63" s="2" t="s">
        <v>7</v>
      </c>
      <c r="G63" s="2" t="s">
        <v>49</v>
      </c>
      <c r="H63" s="11" t="n">
        <v>46271</v>
      </c>
      <c r="I63" s="11" t="n">
        <v>46280</v>
      </c>
      <c r="J63" s="2" t="n">
        <f aca="false">IF(I63="","",I63-H63)</f>
        <v>9</v>
      </c>
    </row>
    <row r="64" customFormat="false" ht="15" hidden="false" customHeight="false" outlineLevel="0" collapsed="false">
      <c r="A64" s="2" t="s">
        <v>160</v>
      </c>
      <c r="B64" s="2" t="s">
        <v>161</v>
      </c>
      <c r="C64" s="2" t="s">
        <v>40</v>
      </c>
      <c r="D64" s="2" t="s">
        <v>48</v>
      </c>
      <c r="E64" s="2" t="s">
        <v>15</v>
      </c>
      <c r="F64" s="2" t="s">
        <v>7</v>
      </c>
      <c r="G64" s="2" t="s">
        <v>42</v>
      </c>
      <c r="H64" s="11" t="n">
        <v>46285</v>
      </c>
      <c r="I64" s="11" t="n">
        <v>46287</v>
      </c>
      <c r="J64" s="2" t="n">
        <f aca="false">IF(I64="","",I64-H64)</f>
        <v>2</v>
      </c>
    </row>
    <row r="65" customFormat="false" ht="15" hidden="false" customHeight="false" outlineLevel="0" collapsed="false">
      <c r="A65" s="2" t="s">
        <v>162</v>
      </c>
      <c r="B65" s="2" t="s">
        <v>163</v>
      </c>
      <c r="C65" s="2" t="s">
        <v>58</v>
      </c>
      <c r="D65" s="2" t="s">
        <v>36</v>
      </c>
      <c r="E65" s="2" t="s">
        <v>15</v>
      </c>
      <c r="F65" s="2" t="s">
        <v>8</v>
      </c>
      <c r="G65" s="2" t="s">
        <v>55</v>
      </c>
      <c r="H65" s="11" t="n">
        <v>46218</v>
      </c>
      <c r="I65" s="11" t="n">
        <v>46226</v>
      </c>
      <c r="J65" s="2" t="n">
        <f aca="false">IF(I65="","",I65-H65)</f>
        <v>8</v>
      </c>
    </row>
    <row r="66" customFormat="false" ht="15" hidden="false" customHeight="false" outlineLevel="0" collapsed="false">
      <c r="A66" s="2" t="s">
        <v>164</v>
      </c>
      <c r="B66" s="2" t="s">
        <v>165</v>
      </c>
      <c r="C66" s="2" t="s">
        <v>40</v>
      </c>
      <c r="D66" s="2" t="s">
        <v>48</v>
      </c>
      <c r="E66" s="2" t="s">
        <v>15</v>
      </c>
      <c r="F66" s="2" t="s">
        <v>7</v>
      </c>
      <c r="G66" s="2" t="s">
        <v>55</v>
      </c>
      <c r="H66" s="11" t="n">
        <v>46288</v>
      </c>
      <c r="I66" s="11" t="n">
        <v>46291</v>
      </c>
      <c r="J66" s="2" t="n">
        <f aca="false">IF(I66="","",I66-H66)</f>
        <v>3</v>
      </c>
    </row>
    <row r="67" customFormat="false" ht="15" hidden="false" customHeight="false" outlineLevel="0" collapsed="false">
      <c r="A67" s="2" t="s">
        <v>166</v>
      </c>
      <c r="B67" s="2" t="s">
        <v>106</v>
      </c>
      <c r="C67" s="2" t="s">
        <v>45</v>
      </c>
      <c r="D67" s="2" t="s">
        <v>36</v>
      </c>
      <c r="E67" s="2" t="s">
        <v>16</v>
      </c>
      <c r="F67" s="2" t="s">
        <v>8</v>
      </c>
      <c r="G67" s="2" t="s">
        <v>42</v>
      </c>
      <c r="H67" s="11" t="n">
        <v>46221</v>
      </c>
      <c r="I67" s="11" t="n">
        <v>46227</v>
      </c>
      <c r="J67" s="2" t="n">
        <f aca="false">IF(I67="","",I67-H67)</f>
        <v>6</v>
      </c>
    </row>
    <row r="68" customFormat="false" ht="15" hidden="false" customHeight="false" outlineLevel="0" collapsed="false">
      <c r="A68" s="2" t="s">
        <v>167</v>
      </c>
      <c r="B68" s="2" t="s">
        <v>168</v>
      </c>
      <c r="C68" s="2" t="s">
        <v>54</v>
      </c>
      <c r="D68" s="2" t="s">
        <v>41</v>
      </c>
      <c r="E68" s="2" t="s">
        <v>15</v>
      </c>
      <c r="F68" s="2" t="s">
        <v>7</v>
      </c>
      <c r="G68" s="2" t="s">
        <v>37</v>
      </c>
      <c r="H68" s="11" t="n">
        <v>46241</v>
      </c>
      <c r="I68" s="11" t="n">
        <v>46243</v>
      </c>
      <c r="J68" s="2" t="n">
        <f aca="false">IF(I68="","",I68-H68)</f>
        <v>2</v>
      </c>
    </row>
    <row r="69" customFormat="false" ht="15" hidden="false" customHeight="false" outlineLevel="0" collapsed="false">
      <c r="A69" s="2" t="s">
        <v>169</v>
      </c>
      <c r="B69" s="2" t="s">
        <v>170</v>
      </c>
      <c r="C69" s="2" t="s">
        <v>45</v>
      </c>
      <c r="D69" s="2" t="s">
        <v>68</v>
      </c>
      <c r="E69" s="2" t="s">
        <v>16</v>
      </c>
      <c r="F69" s="2" t="s">
        <v>7</v>
      </c>
      <c r="G69" s="2" t="s">
        <v>55</v>
      </c>
      <c r="H69" s="11" t="n">
        <v>46230</v>
      </c>
      <c r="I69" s="11" t="n">
        <v>46242</v>
      </c>
      <c r="J69" s="2" t="n">
        <f aca="false">IF(I69="","",I69-H69)</f>
        <v>12</v>
      </c>
    </row>
    <row r="70" customFormat="false" ht="15" hidden="false" customHeight="false" outlineLevel="0" collapsed="false">
      <c r="A70" s="2" t="s">
        <v>171</v>
      </c>
      <c r="B70" s="2" t="s">
        <v>172</v>
      </c>
      <c r="C70" s="2" t="s">
        <v>45</v>
      </c>
      <c r="D70" s="2" t="s">
        <v>68</v>
      </c>
      <c r="E70" s="2" t="s">
        <v>15</v>
      </c>
      <c r="F70" s="2" t="s">
        <v>7</v>
      </c>
      <c r="G70" s="2" t="s">
        <v>42</v>
      </c>
      <c r="H70" s="11" t="n">
        <v>46251</v>
      </c>
      <c r="I70" s="11" t="n">
        <v>46254</v>
      </c>
      <c r="J70" s="2" t="n">
        <f aca="false">IF(I70="","",I70-H70)</f>
        <v>3</v>
      </c>
    </row>
    <row r="71" customFormat="false" ht="15" hidden="false" customHeight="false" outlineLevel="0" collapsed="false">
      <c r="A71" s="2" t="s">
        <v>173</v>
      </c>
      <c r="B71" s="2" t="s">
        <v>90</v>
      </c>
      <c r="C71" s="2" t="s">
        <v>58</v>
      </c>
      <c r="D71" s="2" t="s">
        <v>41</v>
      </c>
      <c r="E71" s="2" t="s">
        <v>15</v>
      </c>
      <c r="F71" s="2" t="s">
        <v>7</v>
      </c>
      <c r="G71" s="2" t="s">
        <v>42</v>
      </c>
      <c r="H71" s="11" t="n">
        <v>46227</v>
      </c>
      <c r="I71" s="11" t="n">
        <v>46233</v>
      </c>
      <c r="J71" s="2" t="n">
        <f aca="false">IF(I71="","",I71-H71)</f>
        <v>6</v>
      </c>
    </row>
    <row r="72" customFormat="false" ht="15" hidden="false" customHeight="false" outlineLevel="0" collapsed="false">
      <c r="A72" s="2" t="s">
        <v>174</v>
      </c>
      <c r="B72" s="2" t="s">
        <v>175</v>
      </c>
      <c r="C72" s="2" t="s">
        <v>45</v>
      </c>
      <c r="D72" s="2" t="s">
        <v>41</v>
      </c>
      <c r="E72" s="2" t="s">
        <v>17</v>
      </c>
      <c r="F72" s="2" t="s">
        <v>7</v>
      </c>
      <c r="G72" s="2" t="s">
        <v>37</v>
      </c>
      <c r="H72" s="11" t="n">
        <v>46279</v>
      </c>
      <c r="I72" s="11" t="n">
        <v>46287</v>
      </c>
      <c r="J72" s="2" t="n">
        <f aca="false">IF(I72="","",I72-H72)</f>
        <v>8</v>
      </c>
    </row>
    <row r="73" customFormat="false" ht="15" hidden="false" customHeight="false" outlineLevel="0" collapsed="false">
      <c r="A73" s="2" t="s">
        <v>176</v>
      </c>
      <c r="B73" s="2" t="s">
        <v>177</v>
      </c>
      <c r="C73" s="2" t="s">
        <v>58</v>
      </c>
      <c r="D73" s="2" t="s">
        <v>68</v>
      </c>
      <c r="E73" s="2" t="s">
        <v>17</v>
      </c>
      <c r="F73" s="2" t="s">
        <v>7</v>
      </c>
      <c r="G73" s="2" t="s">
        <v>37</v>
      </c>
      <c r="H73" s="11" t="n">
        <v>46285</v>
      </c>
      <c r="I73" s="11" t="n">
        <v>46296</v>
      </c>
      <c r="J73" s="2" t="n">
        <f aca="false">IF(I73="","",I73-H73)</f>
        <v>11</v>
      </c>
    </row>
    <row r="74" customFormat="false" ht="15" hidden="false" customHeight="false" outlineLevel="0" collapsed="false">
      <c r="A74" s="2" t="s">
        <v>178</v>
      </c>
      <c r="B74" s="2" t="s">
        <v>121</v>
      </c>
      <c r="C74" s="2" t="s">
        <v>40</v>
      </c>
      <c r="D74" s="2" t="s">
        <v>48</v>
      </c>
      <c r="E74" s="2" t="s">
        <v>16</v>
      </c>
      <c r="F74" s="2" t="s">
        <v>7</v>
      </c>
      <c r="G74" s="2" t="s">
        <v>37</v>
      </c>
      <c r="H74" s="11" t="n">
        <v>46265</v>
      </c>
      <c r="I74" s="11" t="n">
        <v>46274</v>
      </c>
      <c r="J74" s="2" t="n">
        <f aca="false">IF(I74="","",I74-H74)</f>
        <v>9</v>
      </c>
    </row>
    <row r="75" customFormat="false" ht="15" hidden="false" customHeight="false" outlineLevel="0" collapsed="false">
      <c r="A75" s="2" t="s">
        <v>179</v>
      </c>
      <c r="B75" s="2" t="s">
        <v>159</v>
      </c>
      <c r="C75" s="2" t="s">
        <v>58</v>
      </c>
      <c r="D75" s="2" t="s">
        <v>68</v>
      </c>
      <c r="E75" s="2" t="s">
        <v>17</v>
      </c>
      <c r="F75" s="2" t="s">
        <v>7</v>
      </c>
      <c r="G75" s="2" t="s">
        <v>37</v>
      </c>
      <c r="H75" s="11" t="n">
        <v>46273</v>
      </c>
      <c r="I75" s="11" t="n">
        <v>46284</v>
      </c>
      <c r="J75" s="2" t="n">
        <f aca="false">IF(I75="","",I75-H75)</f>
        <v>11</v>
      </c>
    </row>
    <row r="76" customFormat="false" ht="15" hidden="false" customHeight="false" outlineLevel="0" collapsed="false">
      <c r="A76" s="2" t="s">
        <v>180</v>
      </c>
      <c r="B76" s="2" t="s">
        <v>181</v>
      </c>
      <c r="C76" s="2" t="s">
        <v>54</v>
      </c>
      <c r="D76" s="2" t="s">
        <v>48</v>
      </c>
      <c r="E76" s="2" t="s">
        <v>15</v>
      </c>
      <c r="F76" s="2" t="s">
        <v>8</v>
      </c>
      <c r="G76" s="2" t="s">
        <v>55</v>
      </c>
      <c r="H76" s="11" t="n">
        <v>46224</v>
      </c>
      <c r="I76" s="11" t="n">
        <v>46232</v>
      </c>
      <c r="J76" s="2" t="n">
        <f aca="false">IF(I76="","",I76-H76)</f>
        <v>8</v>
      </c>
    </row>
    <row r="77" customFormat="false" ht="15" hidden="false" customHeight="false" outlineLevel="0" collapsed="false">
      <c r="A77" s="2" t="s">
        <v>182</v>
      </c>
      <c r="B77" s="2" t="s">
        <v>183</v>
      </c>
      <c r="C77" s="2" t="s">
        <v>35</v>
      </c>
      <c r="D77" s="2" t="s">
        <v>48</v>
      </c>
      <c r="E77" s="2" t="s">
        <v>15</v>
      </c>
      <c r="F77" s="2" t="s">
        <v>7</v>
      </c>
      <c r="G77" s="2" t="s">
        <v>42</v>
      </c>
      <c r="H77" s="11" t="n">
        <v>46308</v>
      </c>
      <c r="I77" s="11" t="n">
        <v>46312</v>
      </c>
      <c r="J77" s="2" t="n">
        <f aca="false">IF(I77="","",I77-H77)</f>
        <v>4</v>
      </c>
    </row>
    <row r="78" customFormat="false" ht="15" hidden="false" customHeight="false" outlineLevel="0" collapsed="false">
      <c r="A78" s="2" t="s">
        <v>184</v>
      </c>
      <c r="B78" s="2" t="s">
        <v>177</v>
      </c>
      <c r="C78" s="2" t="s">
        <v>45</v>
      </c>
      <c r="D78" s="2" t="s">
        <v>41</v>
      </c>
      <c r="E78" s="2" t="s">
        <v>15</v>
      </c>
      <c r="F78" s="2" t="s">
        <v>7</v>
      </c>
      <c r="G78" s="2" t="s">
        <v>42</v>
      </c>
      <c r="H78" s="11" t="n">
        <v>46268</v>
      </c>
      <c r="I78" s="11" t="n">
        <v>46275</v>
      </c>
      <c r="J78" s="2" t="n">
        <f aca="false">IF(I78="","",I78-H78)</f>
        <v>7</v>
      </c>
    </row>
    <row r="79" customFormat="false" ht="15" hidden="false" customHeight="false" outlineLevel="0" collapsed="false">
      <c r="A79" s="2" t="s">
        <v>185</v>
      </c>
      <c r="B79" s="2" t="s">
        <v>186</v>
      </c>
      <c r="C79" s="2" t="s">
        <v>35</v>
      </c>
      <c r="D79" s="2" t="s">
        <v>41</v>
      </c>
      <c r="E79" s="2" t="s">
        <v>16</v>
      </c>
      <c r="F79" s="2" t="s">
        <v>7</v>
      </c>
      <c r="G79" s="2" t="s">
        <v>49</v>
      </c>
      <c r="H79" s="11" t="n">
        <v>46291</v>
      </c>
      <c r="I79" s="11" t="n">
        <v>46292</v>
      </c>
      <c r="J79" s="2" t="n">
        <f aca="false">IF(I79="","",I79-H79)</f>
        <v>1</v>
      </c>
    </row>
    <row r="80" customFormat="false" ht="15" hidden="false" customHeight="false" outlineLevel="0" collapsed="false">
      <c r="A80" s="2" t="s">
        <v>187</v>
      </c>
      <c r="B80" s="2" t="s">
        <v>188</v>
      </c>
      <c r="C80" s="2" t="s">
        <v>58</v>
      </c>
      <c r="D80" s="2" t="s">
        <v>48</v>
      </c>
      <c r="E80" s="2" t="s">
        <v>15</v>
      </c>
      <c r="F80" s="2" t="s">
        <v>7</v>
      </c>
      <c r="G80" s="2" t="s">
        <v>49</v>
      </c>
      <c r="H80" s="11" t="n">
        <v>46314</v>
      </c>
      <c r="I80" s="11" t="n">
        <v>46319</v>
      </c>
      <c r="J80" s="2" t="n">
        <f aca="false">IF(I80="","",I80-H80)</f>
        <v>5</v>
      </c>
    </row>
    <row r="81" customFormat="false" ht="15" hidden="false" customHeight="false" outlineLevel="0" collapsed="false">
      <c r="A81" s="2" t="s">
        <v>189</v>
      </c>
      <c r="B81" s="2" t="s">
        <v>190</v>
      </c>
      <c r="C81" s="2" t="s">
        <v>35</v>
      </c>
      <c r="D81" s="2" t="s">
        <v>48</v>
      </c>
      <c r="E81" s="2" t="s">
        <v>17</v>
      </c>
      <c r="F81" s="2" t="s">
        <v>7</v>
      </c>
      <c r="G81" s="2" t="s">
        <v>37</v>
      </c>
      <c r="H81" s="11" t="n">
        <v>46314</v>
      </c>
      <c r="I81" s="11" t="n">
        <v>46319</v>
      </c>
      <c r="J81" s="2" t="n">
        <f aca="false">IF(I81="","",I81-H81)</f>
        <v>5</v>
      </c>
    </row>
    <row r="82" customFormat="false" ht="15" hidden="false" customHeight="false" outlineLevel="0" collapsed="false">
      <c r="A82" s="2" t="s">
        <v>191</v>
      </c>
      <c r="B82" s="2" t="s">
        <v>192</v>
      </c>
      <c r="C82" s="2" t="s">
        <v>40</v>
      </c>
      <c r="D82" s="2" t="s">
        <v>36</v>
      </c>
      <c r="E82" s="2" t="s">
        <v>15</v>
      </c>
      <c r="F82" s="2" t="s">
        <v>7</v>
      </c>
      <c r="G82" s="2" t="s">
        <v>55</v>
      </c>
      <c r="H82" s="11" t="n">
        <v>46265</v>
      </c>
      <c r="I82" s="11" t="n">
        <v>46274</v>
      </c>
      <c r="J82" s="2" t="n">
        <f aca="false">IF(I82="","",I82-H82)</f>
        <v>9</v>
      </c>
    </row>
    <row r="83" customFormat="false" ht="15" hidden="false" customHeight="false" outlineLevel="0" collapsed="false">
      <c r="A83" s="2" t="s">
        <v>193</v>
      </c>
      <c r="B83" s="2" t="s">
        <v>194</v>
      </c>
      <c r="C83" s="2" t="s">
        <v>40</v>
      </c>
      <c r="D83" s="2" t="s">
        <v>68</v>
      </c>
      <c r="E83" s="2" t="s">
        <v>15</v>
      </c>
      <c r="F83" s="2" t="s">
        <v>7</v>
      </c>
      <c r="G83" s="2" t="s">
        <v>55</v>
      </c>
      <c r="H83" s="11" t="n">
        <v>46263</v>
      </c>
      <c r="I83" s="11" t="n">
        <v>46271</v>
      </c>
      <c r="J83" s="2" t="n">
        <f aca="false">IF(I83="","",I83-H83)</f>
        <v>8</v>
      </c>
    </row>
    <row r="84" customFormat="false" ht="15" hidden="false" customHeight="false" outlineLevel="0" collapsed="false">
      <c r="A84" s="2" t="s">
        <v>195</v>
      </c>
      <c r="B84" s="2" t="s">
        <v>172</v>
      </c>
      <c r="C84" s="2" t="s">
        <v>58</v>
      </c>
      <c r="D84" s="2" t="s">
        <v>36</v>
      </c>
      <c r="E84" s="2" t="s">
        <v>15</v>
      </c>
      <c r="F84" s="2" t="s">
        <v>6</v>
      </c>
      <c r="G84" s="2" t="s">
        <v>49</v>
      </c>
      <c r="H84" s="11" t="n">
        <v>46268</v>
      </c>
      <c r="I84" s="11"/>
      <c r="J84" s="2" t="str">
        <f aca="false">IF(I84="","",I84-H84)</f>
        <v/>
      </c>
    </row>
    <row r="85" customFormat="false" ht="15" hidden="false" customHeight="false" outlineLevel="0" collapsed="false">
      <c r="A85" s="2" t="s">
        <v>196</v>
      </c>
      <c r="B85" s="2" t="s">
        <v>197</v>
      </c>
      <c r="C85" s="2" t="s">
        <v>35</v>
      </c>
      <c r="D85" s="2" t="s">
        <v>68</v>
      </c>
      <c r="E85" s="2" t="s">
        <v>17</v>
      </c>
      <c r="F85" s="2" t="s">
        <v>7</v>
      </c>
      <c r="G85" s="2" t="s">
        <v>42</v>
      </c>
      <c r="H85" s="11" t="n">
        <v>46296</v>
      </c>
      <c r="I85" s="11" t="n">
        <v>46303</v>
      </c>
      <c r="J85" s="2" t="n">
        <f aca="false">IF(I85="","",I85-H85)</f>
        <v>7</v>
      </c>
    </row>
    <row r="86" customFormat="false" ht="15" hidden="false" customHeight="false" outlineLevel="0" collapsed="false">
      <c r="A86" s="2" t="s">
        <v>198</v>
      </c>
      <c r="B86" s="2" t="s">
        <v>67</v>
      </c>
      <c r="C86" s="2" t="s">
        <v>58</v>
      </c>
      <c r="D86" s="2" t="s">
        <v>68</v>
      </c>
      <c r="E86" s="2" t="s">
        <v>15</v>
      </c>
      <c r="F86" s="2" t="s">
        <v>6</v>
      </c>
      <c r="G86" s="2" t="s">
        <v>49</v>
      </c>
      <c r="H86" s="11" t="n">
        <v>46313</v>
      </c>
      <c r="I86" s="11"/>
      <c r="J86" s="2" t="str">
        <f aca="false">IF(I86="","",I86-H86)</f>
        <v/>
      </c>
    </row>
    <row r="87" customFormat="false" ht="15" hidden="false" customHeight="false" outlineLevel="0" collapsed="false">
      <c r="A87" s="2" t="s">
        <v>199</v>
      </c>
      <c r="B87" s="2" t="s">
        <v>98</v>
      </c>
      <c r="C87" s="2" t="s">
        <v>40</v>
      </c>
      <c r="D87" s="2" t="s">
        <v>68</v>
      </c>
      <c r="E87" s="2" t="s">
        <v>17</v>
      </c>
      <c r="F87" s="2" t="s">
        <v>7</v>
      </c>
      <c r="G87" s="2" t="s">
        <v>49</v>
      </c>
      <c r="H87" s="11" t="n">
        <v>46320</v>
      </c>
      <c r="I87" s="11" t="n">
        <v>46322</v>
      </c>
      <c r="J87" s="2" t="n">
        <f aca="false">IF(I87="","",I87-H87)</f>
        <v>2</v>
      </c>
    </row>
    <row r="88" customFormat="false" ht="15" hidden="false" customHeight="false" outlineLevel="0" collapsed="false">
      <c r="A88" s="2" t="s">
        <v>200</v>
      </c>
      <c r="B88" s="2" t="s">
        <v>62</v>
      </c>
      <c r="C88" s="2" t="s">
        <v>58</v>
      </c>
      <c r="D88" s="2" t="s">
        <v>68</v>
      </c>
      <c r="E88" s="2" t="s">
        <v>15</v>
      </c>
      <c r="F88" s="2" t="s">
        <v>8</v>
      </c>
      <c r="G88" s="2" t="s">
        <v>37</v>
      </c>
      <c r="H88" s="11" t="n">
        <v>46216</v>
      </c>
      <c r="I88" s="11" t="n">
        <v>46218</v>
      </c>
      <c r="J88" s="2" t="n">
        <f aca="false">IF(I88="","",I88-H88)</f>
        <v>2</v>
      </c>
    </row>
    <row r="89" customFormat="false" ht="15" hidden="false" customHeight="false" outlineLevel="0" collapsed="false">
      <c r="A89" s="2" t="s">
        <v>201</v>
      </c>
      <c r="B89" s="2" t="s">
        <v>202</v>
      </c>
      <c r="C89" s="2" t="s">
        <v>45</v>
      </c>
      <c r="D89" s="2" t="s">
        <v>36</v>
      </c>
      <c r="E89" s="2" t="s">
        <v>15</v>
      </c>
      <c r="F89" s="2" t="s">
        <v>7</v>
      </c>
      <c r="G89" s="2" t="s">
        <v>37</v>
      </c>
      <c r="H89" s="11" t="n">
        <v>46243</v>
      </c>
      <c r="I89" s="11" t="n">
        <v>46252</v>
      </c>
      <c r="J89" s="2" t="n">
        <f aca="false">IF(I89="","",I89-H89)</f>
        <v>9</v>
      </c>
    </row>
    <row r="90" customFormat="false" ht="15" hidden="false" customHeight="false" outlineLevel="0" collapsed="false">
      <c r="A90" s="2" t="s">
        <v>203</v>
      </c>
      <c r="B90" s="2" t="s">
        <v>204</v>
      </c>
      <c r="C90" s="2" t="s">
        <v>45</v>
      </c>
      <c r="D90" s="2" t="s">
        <v>68</v>
      </c>
      <c r="E90" s="2" t="s">
        <v>15</v>
      </c>
      <c r="F90" s="2" t="s">
        <v>6</v>
      </c>
      <c r="G90" s="2" t="s">
        <v>49</v>
      </c>
      <c r="H90" s="11" t="n">
        <v>46230</v>
      </c>
      <c r="I90" s="11"/>
      <c r="J90" s="2" t="str">
        <f aca="false">IF(I90="","",I90-H90)</f>
        <v/>
      </c>
    </row>
    <row r="91" customFormat="false" ht="15" hidden="false" customHeight="false" outlineLevel="0" collapsed="false">
      <c r="A91" s="2" t="s">
        <v>205</v>
      </c>
      <c r="B91" s="2" t="s">
        <v>206</v>
      </c>
      <c r="C91" s="2" t="s">
        <v>35</v>
      </c>
      <c r="D91" s="2" t="s">
        <v>68</v>
      </c>
      <c r="E91" s="2" t="s">
        <v>15</v>
      </c>
      <c r="F91" s="2" t="s">
        <v>8</v>
      </c>
      <c r="G91" s="2" t="s">
        <v>49</v>
      </c>
      <c r="H91" s="11" t="n">
        <v>46220</v>
      </c>
      <c r="I91" s="11" t="n">
        <v>46232</v>
      </c>
      <c r="J91" s="2" t="n">
        <f aca="false">IF(I91="","",I91-H91)</f>
        <v>12</v>
      </c>
    </row>
    <row r="92" customFormat="false" ht="15" hidden="false" customHeight="false" outlineLevel="0" collapsed="false">
      <c r="A92" s="2" t="s">
        <v>207</v>
      </c>
      <c r="B92" s="2" t="s">
        <v>84</v>
      </c>
      <c r="C92" s="2" t="s">
        <v>35</v>
      </c>
      <c r="D92" s="2" t="s">
        <v>68</v>
      </c>
      <c r="E92" s="2" t="s">
        <v>15</v>
      </c>
      <c r="F92" s="2" t="s">
        <v>8</v>
      </c>
      <c r="G92" s="2" t="s">
        <v>55</v>
      </c>
      <c r="H92" s="11" t="n">
        <v>46278</v>
      </c>
      <c r="I92" s="11" t="n">
        <v>46285</v>
      </c>
      <c r="J92" s="2" t="n">
        <f aca="false">IF(I92="","",I92-H92)</f>
        <v>7</v>
      </c>
    </row>
    <row r="93" customFormat="false" ht="15" hidden="false" customHeight="false" outlineLevel="0" collapsed="false">
      <c r="A93" s="2" t="s">
        <v>208</v>
      </c>
      <c r="B93" s="2" t="s">
        <v>209</v>
      </c>
      <c r="C93" s="2" t="s">
        <v>54</v>
      </c>
      <c r="D93" s="2" t="s">
        <v>41</v>
      </c>
      <c r="E93" s="2" t="s">
        <v>15</v>
      </c>
      <c r="F93" s="2" t="s">
        <v>7</v>
      </c>
      <c r="G93" s="2" t="s">
        <v>42</v>
      </c>
      <c r="H93" s="11" t="n">
        <v>46239</v>
      </c>
      <c r="I93" s="11" t="n">
        <v>46244</v>
      </c>
      <c r="J93" s="2" t="n">
        <f aca="false">IF(I93="","",I93-H93)</f>
        <v>5</v>
      </c>
    </row>
    <row r="94" customFormat="false" ht="15" hidden="false" customHeight="false" outlineLevel="0" collapsed="false">
      <c r="A94" s="2" t="s">
        <v>210</v>
      </c>
      <c r="B94" s="2" t="s">
        <v>47</v>
      </c>
      <c r="C94" s="2" t="s">
        <v>45</v>
      </c>
      <c r="D94" s="2" t="s">
        <v>36</v>
      </c>
      <c r="E94" s="2" t="s">
        <v>15</v>
      </c>
      <c r="F94" s="2" t="s">
        <v>7</v>
      </c>
      <c r="G94" s="2" t="s">
        <v>55</v>
      </c>
      <c r="H94" s="11" t="n">
        <v>46305</v>
      </c>
      <c r="I94" s="11" t="n">
        <v>46310</v>
      </c>
      <c r="J94" s="2" t="n">
        <f aca="false">IF(I94="","",I94-H94)</f>
        <v>5</v>
      </c>
    </row>
    <row r="95" customFormat="false" ht="15" hidden="false" customHeight="false" outlineLevel="0" collapsed="false">
      <c r="A95" s="2" t="s">
        <v>211</v>
      </c>
      <c r="B95" s="2" t="s">
        <v>212</v>
      </c>
      <c r="C95" s="2" t="s">
        <v>35</v>
      </c>
      <c r="D95" s="2" t="s">
        <v>48</v>
      </c>
      <c r="E95" s="2" t="s">
        <v>16</v>
      </c>
      <c r="F95" s="2" t="s">
        <v>7</v>
      </c>
      <c r="G95" s="2" t="s">
        <v>37</v>
      </c>
      <c r="H95" s="11" t="n">
        <v>46244</v>
      </c>
      <c r="I95" s="11" t="n">
        <v>46255</v>
      </c>
      <c r="J95" s="2" t="n">
        <f aca="false">IF(I95="","",I95-H95)</f>
        <v>11</v>
      </c>
    </row>
    <row r="96" customFormat="false" ht="15" hidden="false" customHeight="false" outlineLevel="0" collapsed="false">
      <c r="A96" s="2" t="s">
        <v>213</v>
      </c>
      <c r="B96" s="2" t="s">
        <v>214</v>
      </c>
      <c r="C96" s="2" t="s">
        <v>54</v>
      </c>
      <c r="D96" s="2" t="s">
        <v>68</v>
      </c>
      <c r="E96" s="2" t="s">
        <v>15</v>
      </c>
      <c r="F96" s="2" t="s">
        <v>7</v>
      </c>
      <c r="G96" s="2" t="s">
        <v>42</v>
      </c>
      <c r="H96" s="11" t="n">
        <v>46303</v>
      </c>
      <c r="I96" s="11" t="n">
        <v>46313</v>
      </c>
      <c r="J96" s="2" t="n">
        <f aca="false">IF(I96="","",I96-H96)</f>
        <v>10</v>
      </c>
    </row>
    <row r="97" customFormat="false" ht="15" hidden="false" customHeight="false" outlineLevel="0" collapsed="false">
      <c r="A97" s="2" t="s">
        <v>215</v>
      </c>
      <c r="B97" s="2" t="s">
        <v>216</v>
      </c>
      <c r="C97" s="2" t="s">
        <v>40</v>
      </c>
      <c r="D97" s="2" t="s">
        <v>48</v>
      </c>
      <c r="E97" s="2" t="s">
        <v>15</v>
      </c>
      <c r="F97" s="2" t="s">
        <v>6</v>
      </c>
      <c r="G97" s="2" t="s">
        <v>37</v>
      </c>
      <c r="H97" s="11" t="n">
        <v>46319</v>
      </c>
      <c r="I97" s="11"/>
      <c r="J97" s="2" t="str">
        <f aca="false">IF(I97="","",I97-H97)</f>
        <v/>
      </c>
    </row>
    <row r="98" customFormat="false" ht="15" hidden="false" customHeight="false" outlineLevel="0" collapsed="false">
      <c r="A98" s="2" t="s">
        <v>217</v>
      </c>
      <c r="B98" s="2" t="s">
        <v>34</v>
      </c>
      <c r="C98" s="2" t="s">
        <v>58</v>
      </c>
      <c r="D98" s="2" t="s">
        <v>41</v>
      </c>
      <c r="E98" s="2" t="s">
        <v>15</v>
      </c>
      <c r="F98" s="2" t="s">
        <v>7</v>
      </c>
      <c r="G98" s="2" t="s">
        <v>42</v>
      </c>
      <c r="H98" s="11" t="n">
        <v>46211</v>
      </c>
      <c r="I98" s="11" t="n">
        <v>46222</v>
      </c>
      <c r="J98" s="2" t="n">
        <f aca="false">IF(I98="","",I98-H98)</f>
        <v>11</v>
      </c>
    </row>
    <row r="99" customFormat="false" ht="15" hidden="false" customHeight="false" outlineLevel="0" collapsed="false">
      <c r="A99" s="2" t="s">
        <v>218</v>
      </c>
      <c r="B99" s="2" t="s">
        <v>219</v>
      </c>
      <c r="C99" s="2" t="s">
        <v>45</v>
      </c>
      <c r="D99" s="2" t="s">
        <v>41</v>
      </c>
      <c r="E99" s="2" t="s">
        <v>16</v>
      </c>
      <c r="F99" s="2" t="s">
        <v>7</v>
      </c>
      <c r="G99" s="2" t="s">
        <v>49</v>
      </c>
      <c r="H99" s="11" t="n">
        <v>46243</v>
      </c>
      <c r="I99" s="11" t="n">
        <v>46253</v>
      </c>
      <c r="J99" s="2" t="n">
        <f aca="false">IF(I99="","",I99-H99)</f>
        <v>10</v>
      </c>
    </row>
    <row r="100" customFormat="false" ht="15" hidden="false" customHeight="false" outlineLevel="0" collapsed="false">
      <c r="A100" s="2" t="s">
        <v>220</v>
      </c>
      <c r="B100" s="2" t="s">
        <v>221</v>
      </c>
      <c r="C100" s="2" t="s">
        <v>35</v>
      </c>
      <c r="D100" s="2" t="s">
        <v>41</v>
      </c>
      <c r="E100" s="2" t="s">
        <v>15</v>
      </c>
      <c r="F100" s="2" t="s">
        <v>8</v>
      </c>
      <c r="G100" s="2" t="s">
        <v>55</v>
      </c>
      <c r="H100" s="11" t="n">
        <v>46251</v>
      </c>
      <c r="I100" s="11" t="n">
        <v>46256</v>
      </c>
      <c r="J100" s="2" t="n">
        <f aca="false">IF(I100="","",I100-H100)</f>
        <v>5</v>
      </c>
    </row>
    <row r="101" customFormat="false" ht="15" hidden="false" customHeight="false" outlineLevel="0" collapsed="false">
      <c r="A101" s="2" t="s">
        <v>222</v>
      </c>
      <c r="B101" s="2" t="s">
        <v>223</v>
      </c>
      <c r="C101" s="2" t="s">
        <v>35</v>
      </c>
      <c r="D101" s="2" t="s">
        <v>41</v>
      </c>
      <c r="E101" s="2" t="s">
        <v>15</v>
      </c>
      <c r="F101" s="2" t="s">
        <v>7</v>
      </c>
      <c r="G101" s="2" t="s">
        <v>42</v>
      </c>
      <c r="H101" s="11" t="n">
        <v>46305</v>
      </c>
      <c r="I101" s="11" t="n">
        <v>46315</v>
      </c>
      <c r="J101" s="2" t="n">
        <f aca="false">IF(I101="","",I101-H101)</f>
        <v>10</v>
      </c>
    </row>
    <row r="102" customFormat="false" ht="15" hidden="false" customHeight="false" outlineLevel="0" collapsed="false">
      <c r="A102" s="2" t="s">
        <v>224</v>
      </c>
      <c r="B102" s="2" t="s">
        <v>177</v>
      </c>
      <c r="C102" s="2" t="s">
        <v>40</v>
      </c>
      <c r="D102" s="2" t="s">
        <v>41</v>
      </c>
      <c r="E102" s="2" t="s">
        <v>15</v>
      </c>
      <c r="F102" s="2" t="s">
        <v>7</v>
      </c>
      <c r="G102" s="2" t="s">
        <v>37</v>
      </c>
      <c r="H102" s="11" t="n">
        <v>46230</v>
      </c>
      <c r="I102" s="11" t="n">
        <v>46231</v>
      </c>
      <c r="J102" s="2" t="n">
        <f aca="false">IF(I102="","",I102-H102)</f>
        <v>1</v>
      </c>
    </row>
    <row r="103" customFormat="false" ht="15" hidden="false" customHeight="false" outlineLevel="0" collapsed="false">
      <c r="A103" s="2" t="s">
        <v>225</v>
      </c>
      <c r="B103" s="2" t="s">
        <v>108</v>
      </c>
      <c r="C103" s="2" t="s">
        <v>45</v>
      </c>
      <c r="D103" s="2" t="s">
        <v>48</v>
      </c>
      <c r="E103" s="2" t="s">
        <v>15</v>
      </c>
      <c r="F103" s="2" t="s">
        <v>7</v>
      </c>
      <c r="G103" s="2" t="s">
        <v>49</v>
      </c>
      <c r="H103" s="11" t="n">
        <v>46257</v>
      </c>
      <c r="I103" s="11" t="n">
        <v>46263</v>
      </c>
      <c r="J103" s="2" t="n">
        <f aca="false">IF(I103="","",I103-H103)</f>
        <v>6</v>
      </c>
    </row>
    <row r="104" customFormat="false" ht="15" hidden="false" customHeight="false" outlineLevel="0" collapsed="false">
      <c r="A104" s="2" t="s">
        <v>226</v>
      </c>
      <c r="B104" s="2" t="s">
        <v>188</v>
      </c>
      <c r="C104" s="2" t="s">
        <v>35</v>
      </c>
      <c r="D104" s="2" t="s">
        <v>68</v>
      </c>
      <c r="E104" s="2" t="s">
        <v>15</v>
      </c>
      <c r="F104" s="2" t="s">
        <v>7</v>
      </c>
      <c r="G104" s="2" t="s">
        <v>49</v>
      </c>
      <c r="H104" s="11" t="n">
        <v>46253</v>
      </c>
      <c r="I104" s="11" t="n">
        <v>46259</v>
      </c>
      <c r="J104" s="2" t="n">
        <f aca="false">IF(I104="","",I104-H104)</f>
        <v>6</v>
      </c>
    </row>
    <row r="105" customFormat="false" ht="15" hidden="false" customHeight="false" outlineLevel="0" collapsed="false">
      <c r="A105" s="2" t="s">
        <v>227</v>
      </c>
      <c r="B105" s="2" t="s">
        <v>228</v>
      </c>
      <c r="C105" s="2" t="s">
        <v>54</v>
      </c>
      <c r="D105" s="2" t="s">
        <v>36</v>
      </c>
      <c r="E105" s="2" t="s">
        <v>15</v>
      </c>
      <c r="F105" s="2" t="s">
        <v>8</v>
      </c>
      <c r="G105" s="2" t="s">
        <v>37</v>
      </c>
      <c r="H105" s="11" t="n">
        <v>46226</v>
      </c>
      <c r="I105" s="11" t="n">
        <v>46235</v>
      </c>
      <c r="J105" s="2" t="n">
        <f aca="false">IF(I105="","",I105-H105)</f>
        <v>9</v>
      </c>
    </row>
    <row r="106" customFormat="false" ht="15" hidden="false" customHeight="false" outlineLevel="0" collapsed="false">
      <c r="A106" s="2" t="s">
        <v>229</v>
      </c>
      <c r="B106" s="2" t="s">
        <v>230</v>
      </c>
      <c r="C106" s="2" t="s">
        <v>58</v>
      </c>
      <c r="D106" s="2" t="s">
        <v>41</v>
      </c>
      <c r="E106" s="2" t="s">
        <v>15</v>
      </c>
      <c r="F106" s="2" t="s">
        <v>7</v>
      </c>
      <c r="G106" s="2" t="s">
        <v>49</v>
      </c>
      <c r="H106" s="11" t="n">
        <v>46255</v>
      </c>
      <c r="I106" s="11" t="n">
        <v>46264</v>
      </c>
      <c r="J106" s="2" t="n">
        <f aca="false">IF(I106="","",I106-H106)</f>
        <v>9</v>
      </c>
    </row>
    <row r="107" customFormat="false" ht="15" hidden="false" customHeight="false" outlineLevel="0" collapsed="false">
      <c r="A107" s="2" t="s">
        <v>231</v>
      </c>
      <c r="B107" s="2" t="s">
        <v>221</v>
      </c>
      <c r="C107" s="2" t="s">
        <v>40</v>
      </c>
      <c r="D107" s="2" t="s">
        <v>41</v>
      </c>
      <c r="E107" s="2" t="s">
        <v>16</v>
      </c>
      <c r="F107" s="2" t="s">
        <v>7</v>
      </c>
      <c r="G107" s="2" t="s">
        <v>55</v>
      </c>
      <c r="H107" s="11" t="n">
        <v>46207</v>
      </c>
      <c r="I107" s="11" t="n">
        <v>46212</v>
      </c>
      <c r="J107" s="2" t="n">
        <f aca="false">IF(I107="","",I107-H107)</f>
        <v>5</v>
      </c>
    </row>
    <row r="108" customFormat="false" ht="15" hidden="false" customHeight="false" outlineLevel="0" collapsed="false">
      <c r="A108" s="2" t="s">
        <v>232</v>
      </c>
      <c r="B108" s="2" t="s">
        <v>233</v>
      </c>
      <c r="C108" s="2" t="s">
        <v>54</v>
      </c>
      <c r="D108" s="2" t="s">
        <v>36</v>
      </c>
      <c r="E108" s="2" t="s">
        <v>15</v>
      </c>
      <c r="F108" s="2" t="s">
        <v>7</v>
      </c>
      <c r="G108" s="2" t="s">
        <v>49</v>
      </c>
      <c r="H108" s="11" t="n">
        <v>46246</v>
      </c>
      <c r="I108" s="11" t="n">
        <v>46257</v>
      </c>
      <c r="J108" s="2" t="n">
        <f aca="false">IF(I108="","",I108-H108)</f>
        <v>11</v>
      </c>
    </row>
    <row r="109" customFormat="false" ht="15" hidden="false" customHeight="false" outlineLevel="0" collapsed="false">
      <c r="A109" s="2" t="s">
        <v>234</v>
      </c>
      <c r="B109" s="2" t="s">
        <v>86</v>
      </c>
      <c r="C109" s="2" t="s">
        <v>54</v>
      </c>
      <c r="D109" s="2" t="s">
        <v>41</v>
      </c>
      <c r="E109" s="2" t="s">
        <v>16</v>
      </c>
      <c r="F109" s="2" t="s">
        <v>7</v>
      </c>
      <c r="G109" s="2" t="s">
        <v>42</v>
      </c>
      <c r="H109" s="11" t="n">
        <v>46258</v>
      </c>
      <c r="I109" s="11" t="n">
        <v>46264</v>
      </c>
      <c r="J109" s="2" t="n">
        <f aca="false">IF(I109="","",I109-H109)</f>
        <v>6</v>
      </c>
    </row>
    <row r="110" customFormat="false" ht="15" hidden="false" customHeight="false" outlineLevel="0" collapsed="false">
      <c r="A110" s="2" t="s">
        <v>235</v>
      </c>
      <c r="B110" s="2" t="s">
        <v>94</v>
      </c>
      <c r="C110" s="2" t="s">
        <v>54</v>
      </c>
      <c r="D110" s="2" t="s">
        <v>68</v>
      </c>
      <c r="E110" s="2" t="s">
        <v>15</v>
      </c>
      <c r="F110" s="2" t="s">
        <v>7</v>
      </c>
      <c r="G110" s="2" t="s">
        <v>55</v>
      </c>
      <c r="H110" s="11" t="n">
        <v>46280</v>
      </c>
      <c r="I110" s="11" t="n">
        <v>46288</v>
      </c>
      <c r="J110" s="2" t="n">
        <f aca="false">IF(I110="","",I110-H110)</f>
        <v>8</v>
      </c>
    </row>
    <row r="111" customFormat="false" ht="15" hidden="false" customHeight="false" outlineLevel="0" collapsed="false">
      <c r="A111" s="2" t="s">
        <v>236</v>
      </c>
      <c r="B111" s="2" t="s">
        <v>237</v>
      </c>
      <c r="C111" s="2" t="s">
        <v>35</v>
      </c>
      <c r="D111" s="2" t="s">
        <v>41</v>
      </c>
      <c r="E111" s="2" t="s">
        <v>15</v>
      </c>
      <c r="F111" s="2" t="s">
        <v>7</v>
      </c>
      <c r="G111" s="2" t="s">
        <v>55</v>
      </c>
      <c r="H111" s="11" t="n">
        <v>46241</v>
      </c>
      <c r="I111" s="11" t="n">
        <v>46248</v>
      </c>
      <c r="J111" s="2" t="n">
        <f aca="false">IF(I111="","",I111-H111)</f>
        <v>7</v>
      </c>
    </row>
    <row r="112" customFormat="false" ht="15" hidden="false" customHeight="false" outlineLevel="0" collapsed="false">
      <c r="A112" s="2" t="s">
        <v>238</v>
      </c>
      <c r="B112" s="2" t="s">
        <v>239</v>
      </c>
      <c r="C112" s="2" t="s">
        <v>58</v>
      </c>
      <c r="D112" s="2" t="s">
        <v>68</v>
      </c>
      <c r="E112" s="2" t="s">
        <v>15</v>
      </c>
      <c r="F112" s="2" t="s">
        <v>7</v>
      </c>
      <c r="G112" s="2" t="s">
        <v>49</v>
      </c>
      <c r="H112" s="11" t="n">
        <v>46240</v>
      </c>
      <c r="I112" s="11" t="n">
        <v>46246</v>
      </c>
      <c r="J112" s="2" t="n">
        <f aca="false">IF(I112="","",I112-H112)</f>
        <v>6</v>
      </c>
    </row>
    <row r="113" customFormat="false" ht="15" hidden="false" customHeight="false" outlineLevel="0" collapsed="false">
      <c r="A113" s="2" t="s">
        <v>240</v>
      </c>
      <c r="B113" s="2" t="s">
        <v>159</v>
      </c>
      <c r="C113" s="2" t="s">
        <v>54</v>
      </c>
      <c r="D113" s="2" t="s">
        <v>68</v>
      </c>
      <c r="E113" s="2" t="s">
        <v>15</v>
      </c>
      <c r="F113" s="2" t="s">
        <v>7</v>
      </c>
      <c r="G113" s="2" t="s">
        <v>42</v>
      </c>
      <c r="H113" s="11" t="n">
        <v>46294</v>
      </c>
      <c r="I113" s="11" t="n">
        <v>46296</v>
      </c>
      <c r="J113" s="2" t="n">
        <f aca="false">IF(I113="","",I113-H113)</f>
        <v>2</v>
      </c>
    </row>
    <row r="114" customFormat="false" ht="15" hidden="false" customHeight="false" outlineLevel="0" collapsed="false">
      <c r="A114" s="2" t="s">
        <v>241</v>
      </c>
      <c r="B114" s="2" t="s">
        <v>168</v>
      </c>
      <c r="C114" s="2" t="s">
        <v>35</v>
      </c>
      <c r="D114" s="2" t="s">
        <v>48</v>
      </c>
      <c r="E114" s="2" t="s">
        <v>16</v>
      </c>
      <c r="F114" s="2" t="s">
        <v>7</v>
      </c>
      <c r="G114" s="2" t="s">
        <v>37</v>
      </c>
      <c r="H114" s="11" t="n">
        <v>46253</v>
      </c>
      <c r="I114" s="11" t="n">
        <v>46263</v>
      </c>
      <c r="J114" s="2" t="n">
        <f aca="false">IF(I114="","",I114-H114)</f>
        <v>10</v>
      </c>
    </row>
    <row r="115" customFormat="false" ht="15" hidden="false" customHeight="false" outlineLevel="0" collapsed="false">
      <c r="A115" s="2" t="s">
        <v>242</v>
      </c>
      <c r="B115" s="2" t="s">
        <v>243</v>
      </c>
      <c r="C115" s="2" t="s">
        <v>54</v>
      </c>
      <c r="D115" s="2" t="s">
        <v>68</v>
      </c>
      <c r="E115" s="2" t="s">
        <v>15</v>
      </c>
      <c r="F115" s="2" t="s">
        <v>7</v>
      </c>
      <c r="G115" s="2" t="s">
        <v>37</v>
      </c>
      <c r="H115" s="11" t="n">
        <v>46207</v>
      </c>
      <c r="I115" s="11" t="n">
        <v>46216</v>
      </c>
      <c r="J115" s="2" t="n">
        <f aca="false">IF(I115="","",I115-H115)</f>
        <v>9</v>
      </c>
    </row>
    <row r="116" customFormat="false" ht="15" hidden="false" customHeight="false" outlineLevel="0" collapsed="false">
      <c r="A116" s="2" t="s">
        <v>244</v>
      </c>
      <c r="B116" s="2" t="s">
        <v>245</v>
      </c>
      <c r="C116" s="2" t="s">
        <v>58</v>
      </c>
      <c r="D116" s="2" t="s">
        <v>68</v>
      </c>
      <c r="E116" s="2" t="s">
        <v>16</v>
      </c>
      <c r="F116" s="2" t="s">
        <v>8</v>
      </c>
      <c r="G116" s="2" t="s">
        <v>37</v>
      </c>
      <c r="H116" s="11" t="n">
        <v>46288</v>
      </c>
      <c r="I116" s="11" t="n">
        <v>46295</v>
      </c>
      <c r="J116" s="2" t="n">
        <f aca="false">IF(I116="","",I116-H116)</f>
        <v>7</v>
      </c>
    </row>
    <row r="117" customFormat="false" ht="15" hidden="false" customHeight="false" outlineLevel="0" collapsed="false">
      <c r="A117" s="2" t="s">
        <v>246</v>
      </c>
      <c r="B117" s="2" t="s">
        <v>247</v>
      </c>
      <c r="C117" s="2" t="s">
        <v>45</v>
      </c>
      <c r="D117" s="2" t="s">
        <v>48</v>
      </c>
      <c r="E117" s="2" t="s">
        <v>16</v>
      </c>
      <c r="F117" s="2" t="s">
        <v>7</v>
      </c>
      <c r="G117" s="2" t="s">
        <v>49</v>
      </c>
      <c r="H117" s="11" t="n">
        <v>46264</v>
      </c>
      <c r="I117" s="11" t="n">
        <v>46275</v>
      </c>
      <c r="J117" s="2" t="n">
        <f aca="false">IF(I117="","",I117-H117)</f>
        <v>11</v>
      </c>
    </row>
    <row r="118" customFormat="false" ht="15" hidden="false" customHeight="false" outlineLevel="0" collapsed="false">
      <c r="A118" s="2" t="s">
        <v>248</v>
      </c>
      <c r="B118" s="2" t="s">
        <v>88</v>
      </c>
      <c r="C118" s="2" t="s">
        <v>35</v>
      </c>
      <c r="D118" s="2" t="s">
        <v>41</v>
      </c>
      <c r="E118" s="2" t="s">
        <v>16</v>
      </c>
      <c r="F118" s="2" t="s">
        <v>7</v>
      </c>
      <c r="G118" s="2" t="s">
        <v>49</v>
      </c>
      <c r="H118" s="11" t="n">
        <v>46236</v>
      </c>
      <c r="I118" s="11" t="n">
        <v>46237</v>
      </c>
      <c r="J118" s="2" t="n">
        <f aca="false">IF(I118="","",I118-H118)</f>
        <v>1</v>
      </c>
    </row>
    <row r="119" customFormat="false" ht="15" hidden="false" customHeight="false" outlineLevel="0" collapsed="false">
      <c r="A119" s="2" t="s">
        <v>249</v>
      </c>
      <c r="B119" s="2" t="s">
        <v>250</v>
      </c>
      <c r="C119" s="2" t="s">
        <v>40</v>
      </c>
      <c r="D119" s="2" t="s">
        <v>68</v>
      </c>
      <c r="E119" s="2" t="s">
        <v>16</v>
      </c>
      <c r="F119" s="2" t="s">
        <v>7</v>
      </c>
      <c r="G119" s="2" t="s">
        <v>49</v>
      </c>
      <c r="H119" s="11" t="n">
        <v>46305</v>
      </c>
      <c r="I119" s="11" t="n">
        <v>46312</v>
      </c>
      <c r="J119" s="2" t="n">
        <f aca="false">IF(I119="","",I119-H119)</f>
        <v>7</v>
      </c>
    </row>
    <row r="120" customFormat="false" ht="15" hidden="false" customHeight="false" outlineLevel="0" collapsed="false">
      <c r="A120" s="2" t="s">
        <v>251</v>
      </c>
      <c r="B120" s="2" t="s">
        <v>252</v>
      </c>
      <c r="C120" s="2" t="s">
        <v>35</v>
      </c>
      <c r="D120" s="2" t="s">
        <v>41</v>
      </c>
      <c r="E120" s="2" t="s">
        <v>15</v>
      </c>
      <c r="F120" s="2" t="s">
        <v>7</v>
      </c>
      <c r="G120" s="2" t="s">
        <v>37</v>
      </c>
      <c r="H120" s="11" t="n">
        <v>46218</v>
      </c>
      <c r="I120" s="11" t="n">
        <v>46222</v>
      </c>
      <c r="J120" s="2" t="n">
        <f aca="false">IF(I120="","",I120-H120)</f>
        <v>4</v>
      </c>
    </row>
    <row r="121" customFormat="false" ht="15" hidden="false" customHeight="false" outlineLevel="0" collapsed="false">
      <c r="A121" s="2" t="s">
        <v>253</v>
      </c>
      <c r="B121" s="2" t="s">
        <v>254</v>
      </c>
      <c r="C121" s="2" t="s">
        <v>54</v>
      </c>
      <c r="D121" s="2" t="s">
        <v>36</v>
      </c>
      <c r="E121" s="2" t="s">
        <v>15</v>
      </c>
      <c r="F121" s="2" t="s">
        <v>7</v>
      </c>
      <c r="G121" s="2" t="s">
        <v>55</v>
      </c>
      <c r="H121" s="11" t="n">
        <v>46281</v>
      </c>
      <c r="I121" s="11" t="n">
        <v>46285</v>
      </c>
      <c r="J121" s="2" t="n">
        <f aca="false">IF(I121="","",I121-H121)</f>
        <v>4</v>
      </c>
    </row>
    <row r="122" customFormat="false" ht="15" hidden="false" customHeight="false" outlineLevel="0" collapsed="false">
      <c r="A122" s="2" t="s">
        <v>255</v>
      </c>
      <c r="B122" s="2" t="s">
        <v>256</v>
      </c>
      <c r="C122" s="2" t="s">
        <v>35</v>
      </c>
      <c r="D122" s="2" t="s">
        <v>36</v>
      </c>
      <c r="E122" s="2" t="s">
        <v>15</v>
      </c>
      <c r="F122" s="2" t="s">
        <v>7</v>
      </c>
      <c r="G122" s="2" t="s">
        <v>55</v>
      </c>
      <c r="H122" s="11" t="n">
        <v>46204</v>
      </c>
      <c r="I122" s="11" t="n">
        <v>46214</v>
      </c>
      <c r="J122" s="2" t="n">
        <f aca="false">IF(I122="","",I122-H122)</f>
        <v>10</v>
      </c>
    </row>
    <row r="123" customFormat="false" ht="15" hidden="false" customHeight="false" outlineLevel="0" collapsed="false">
      <c r="A123" s="2" t="s">
        <v>257</v>
      </c>
      <c r="B123" s="2" t="s">
        <v>125</v>
      </c>
      <c r="C123" s="2" t="s">
        <v>54</v>
      </c>
      <c r="D123" s="2" t="s">
        <v>48</v>
      </c>
      <c r="E123" s="2" t="s">
        <v>15</v>
      </c>
      <c r="F123" s="2" t="s">
        <v>7</v>
      </c>
      <c r="G123" s="2" t="s">
        <v>55</v>
      </c>
      <c r="H123" s="11" t="n">
        <v>46223</v>
      </c>
      <c r="I123" s="11" t="n">
        <v>46227</v>
      </c>
      <c r="J123" s="2" t="n">
        <f aca="false">IF(I123="","",I123-H123)</f>
        <v>4</v>
      </c>
    </row>
    <row r="124" customFormat="false" ht="15" hidden="false" customHeight="false" outlineLevel="0" collapsed="false">
      <c r="A124" s="2" t="s">
        <v>258</v>
      </c>
      <c r="B124" s="2" t="s">
        <v>65</v>
      </c>
      <c r="C124" s="2" t="s">
        <v>40</v>
      </c>
      <c r="D124" s="2" t="s">
        <v>68</v>
      </c>
      <c r="E124" s="2" t="s">
        <v>15</v>
      </c>
      <c r="F124" s="2" t="s">
        <v>7</v>
      </c>
      <c r="G124" s="2" t="s">
        <v>49</v>
      </c>
      <c r="H124" s="11" t="n">
        <v>46210</v>
      </c>
      <c r="I124" s="11" t="n">
        <v>46219</v>
      </c>
      <c r="J124" s="2" t="n">
        <f aca="false">IF(I124="","",I124-H124)</f>
        <v>9</v>
      </c>
    </row>
    <row r="125" customFormat="false" ht="15" hidden="false" customHeight="false" outlineLevel="0" collapsed="false">
      <c r="A125" s="2" t="s">
        <v>259</v>
      </c>
      <c r="B125" s="2" t="s">
        <v>260</v>
      </c>
      <c r="C125" s="2" t="s">
        <v>45</v>
      </c>
      <c r="D125" s="2" t="s">
        <v>68</v>
      </c>
      <c r="E125" s="2" t="s">
        <v>15</v>
      </c>
      <c r="F125" s="2" t="s">
        <v>7</v>
      </c>
      <c r="G125" s="2" t="s">
        <v>55</v>
      </c>
      <c r="H125" s="11" t="n">
        <v>46313</v>
      </c>
      <c r="I125" s="11" t="n">
        <v>46322</v>
      </c>
      <c r="J125" s="2" t="n">
        <f aca="false">IF(I125="","",I125-H125)</f>
        <v>9</v>
      </c>
    </row>
    <row r="126" customFormat="false" ht="15" hidden="false" customHeight="false" outlineLevel="0" collapsed="false">
      <c r="A126" s="2" t="s">
        <v>261</v>
      </c>
      <c r="B126" s="2" t="s">
        <v>34</v>
      </c>
      <c r="C126" s="2" t="s">
        <v>54</v>
      </c>
      <c r="D126" s="2" t="s">
        <v>68</v>
      </c>
      <c r="E126" s="2" t="s">
        <v>17</v>
      </c>
      <c r="F126" s="2" t="s">
        <v>7</v>
      </c>
      <c r="G126" s="2" t="s">
        <v>42</v>
      </c>
      <c r="H126" s="11" t="n">
        <v>46217</v>
      </c>
      <c r="I126" s="11" t="n">
        <v>46219</v>
      </c>
      <c r="J126" s="2" t="n">
        <f aca="false">IF(I126="","",I126-H126)</f>
        <v>2</v>
      </c>
    </row>
    <row r="127" customFormat="false" ht="15" hidden="false" customHeight="false" outlineLevel="0" collapsed="false">
      <c r="A127" s="2" t="s">
        <v>262</v>
      </c>
      <c r="B127" s="2" t="s">
        <v>263</v>
      </c>
      <c r="C127" s="2" t="s">
        <v>40</v>
      </c>
      <c r="D127" s="2" t="s">
        <v>48</v>
      </c>
      <c r="E127" s="2" t="s">
        <v>15</v>
      </c>
      <c r="F127" s="2" t="s">
        <v>8</v>
      </c>
      <c r="G127" s="2" t="s">
        <v>55</v>
      </c>
      <c r="H127" s="11" t="n">
        <v>46223</v>
      </c>
      <c r="I127" s="11" t="n">
        <v>46230</v>
      </c>
      <c r="J127" s="2" t="n">
        <f aca="false">IF(I127="","",I127-H127)</f>
        <v>7</v>
      </c>
    </row>
    <row r="128" customFormat="false" ht="15" hidden="false" customHeight="false" outlineLevel="0" collapsed="false">
      <c r="A128" s="2" t="s">
        <v>264</v>
      </c>
      <c r="B128" s="2" t="s">
        <v>265</v>
      </c>
      <c r="C128" s="2" t="s">
        <v>54</v>
      </c>
      <c r="D128" s="2" t="s">
        <v>68</v>
      </c>
      <c r="E128" s="2" t="s">
        <v>16</v>
      </c>
      <c r="F128" s="2" t="s">
        <v>7</v>
      </c>
      <c r="G128" s="2" t="s">
        <v>42</v>
      </c>
      <c r="H128" s="11" t="n">
        <v>46206</v>
      </c>
      <c r="I128" s="11" t="n">
        <v>46209</v>
      </c>
      <c r="J128" s="2" t="n">
        <f aca="false">IF(I128="","",I128-H128)</f>
        <v>3</v>
      </c>
    </row>
    <row r="129" customFormat="false" ht="15" hidden="false" customHeight="false" outlineLevel="0" collapsed="false">
      <c r="A129" s="2" t="s">
        <v>266</v>
      </c>
      <c r="B129" s="2" t="s">
        <v>267</v>
      </c>
      <c r="C129" s="2" t="s">
        <v>35</v>
      </c>
      <c r="D129" s="2" t="s">
        <v>41</v>
      </c>
      <c r="E129" s="2" t="s">
        <v>15</v>
      </c>
      <c r="F129" s="2" t="s">
        <v>7</v>
      </c>
      <c r="G129" s="2" t="s">
        <v>49</v>
      </c>
      <c r="H129" s="11" t="n">
        <v>46265</v>
      </c>
      <c r="I129" s="11" t="n">
        <v>46277</v>
      </c>
      <c r="J129" s="2" t="n">
        <f aca="false">IF(I129="","",I129-H129)</f>
        <v>12</v>
      </c>
    </row>
    <row r="130" customFormat="false" ht="15" hidden="false" customHeight="false" outlineLevel="0" collapsed="false">
      <c r="A130" s="2" t="s">
        <v>268</v>
      </c>
      <c r="B130" s="2" t="s">
        <v>106</v>
      </c>
      <c r="C130" s="2" t="s">
        <v>58</v>
      </c>
      <c r="D130" s="2" t="s">
        <v>36</v>
      </c>
      <c r="E130" s="2" t="s">
        <v>16</v>
      </c>
      <c r="F130" s="2" t="s">
        <v>7</v>
      </c>
      <c r="G130" s="2" t="s">
        <v>37</v>
      </c>
      <c r="H130" s="11" t="n">
        <v>46235</v>
      </c>
      <c r="I130" s="11" t="n">
        <v>46241</v>
      </c>
      <c r="J130" s="2" t="n">
        <f aca="false">IF(I130="","",I130-H130)</f>
        <v>6</v>
      </c>
    </row>
    <row r="131" customFormat="false" ht="15" hidden="false" customHeight="false" outlineLevel="0" collapsed="false">
      <c r="A131" s="2" t="s">
        <v>269</v>
      </c>
      <c r="B131" s="2" t="s">
        <v>270</v>
      </c>
      <c r="C131" s="2" t="s">
        <v>45</v>
      </c>
      <c r="D131" s="2" t="s">
        <v>48</v>
      </c>
      <c r="E131" s="2" t="s">
        <v>15</v>
      </c>
      <c r="F131" s="2" t="s">
        <v>6</v>
      </c>
      <c r="G131" s="2" t="s">
        <v>49</v>
      </c>
      <c r="H131" s="11" t="n">
        <v>46320</v>
      </c>
      <c r="I131" s="11"/>
      <c r="J131" s="2" t="str">
        <f aca="false">IF(I131="","",I131-H131)</f>
        <v/>
      </c>
    </row>
    <row r="132" customFormat="false" ht="15" hidden="false" customHeight="false" outlineLevel="0" collapsed="false">
      <c r="A132" s="2" t="s">
        <v>271</v>
      </c>
      <c r="B132" s="2" t="s">
        <v>88</v>
      </c>
      <c r="C132" s="2" t="s">
        <v>35</v>
      </c>
      <c r="D132" s="2" t="s">
        <v>48</v>
      </c>
      <c r="E132" s="2" t="s">
        <v>15</v>
      </c>
      <c r="F132" s="2" t="s">
        <v>8</v>
      </c>
      <c r="G132" s="2" t="s">
        <v>42</v>
      </c>
      <c r="H132" s="11" t="n">
        <v>46210</v>
      </c>
      <c r="I132" s="11" t="n">
        <v>46222</v>
      </c>
      <c r="J132" s="2" t="n">
        <f aca="false">IF(I132="","",I132-H132)</f>
        <v>12</v>
      </c>
    </row>
    <row r="133" customFormat="false" ht="15" hidden="false" customHeight="false" outlineLevel="0" collapsed="false">
      <c r="A133" s="2" t="s">
        <v>272</v>
      </c>
      <c r="B133" s="2" t="s">
        <v>108</v>
      </c>
      <c r="C133" s="2" t="s">
        <v>40</v>
      </c>
      <c r="D133" s="2" t="s">
        <v>36</v>
      </c>
      <c r="E133" s="2" t="s">
        <v>16</v>
      </c>
      <c r="F133" s="2" t="s">
        <v>8</v>
      </c>
      <c r="G133" s="2" t="s">
        <v>42</v>
      </c>
      <c r="H133" s="11" t="n">
        <v>46243</v>
      </c>
      <c r="I133" s="11" t="n">
        <v>46255</v>
      </c>
      <c r="J133" s="2" t="n">
        <f aca="false">IF(I133="","",I133-H133)</f>
        <v>12</v>
      </c>
    </row>
    <row r="134" customFormat="false" ht="15" hidden="false" customHeight="false" outlineLevel="0" collapsed="false">
      <c r="A134" s="2" t="s">
        <v>273</v>
      </c>
      <c r="B134" s="2" t="s">
        <v>108</v>
      </c>
      <c r="C134" s="2" t="s">
        <v>54</v>
      </c>
      <c r="D134" s="2" t="s">
        <v>48</v>
      </c>
      <c r="E134" s="2" t="s">
        <v>15</v>
      </c>
      <c r="F134" s="2" t="s">
        <v>7</v>
      </c>
      <c r="G134" s="2" t="s">
        <v>37</v>
      </c>
      <c r="H134" s="11" t="n">
        <v>46281</v>
      </c>
      <c r="I134" s="11" t="n">
        <v>46283</v>
      </c>
      <c r="J134" s="2" t="n">
        <f aca="false">IF(I134="","",I134-H134)</f>
        <v>2</v>
      </c>
    </row>
    <row r="135" customFormat="false" ht="15" hidden="false" customHeight="false" outlineLevel="0" collapsed="false">
      <c r="A135" s="2" t="s">
        <v>274</v>
      </c>
      <c r="B135" s="2" t="s">
        <v>237</v>
      </c>
      <c r="C135" s="2" t="s">
        <v>35</v>
      </c>
      <c r="D135" s="2" t="s">
        <v>68</v>
      </c>
      <c r="E135" s="2" t="s">
        <v>16</v>
      </c>
      <c r="F135" s="2" t="s">
        <v>8</v>
      </c>
      <c r="G135" s="2" t="s">
        <v>42</v>
      </c>
      <c r="H135" s="11" t="n">
        <v>46223</v>
      </c>
      <c r="I135" s="11" t="n">
        <v>46235</v>
      </c>
      <c r="J135" s="2" t="n">
        <f aca="false">IF(I135="","",I135-H135)</f>
        <v>12</v>
      </c>
    </row>
    <row r="136" customFormat="false" ht="15" hidden="false" customHeight="false" outlineLevel="0" collapsed="false">
      <c r="A136" s="2" t="s">
        <v>275</v>
      </c>
      <c r="B136" s="2" t="s">
        <v>276</v>
      </c>
      <c r="C136" s="2" t="s">
        <v>40</v>
      </c>
      <c r="D136" s="2" t="s">
        <v>41</v>
      </c>
      <c r="E136" s="2" t="s">
        <v>15</v>
      </c>
      <c r="F136" s="2" t="s">
        <v>7</v>
      </c>
      <c r="G136" s="2" t="s">
        <v>55</v>
      </c>
      <c r="H136" s="11" t="n">
        <v>46306</v>
      </c>
      <c r="I136" s="11" t="n">
        <v>46308</v>
      </c>
      <c r="J136" s="2" t="n">
        <f aca="false">IF(I136="","",I136-H136)</f>
        <v>2</v>
      </c>
    </row>
    <row r="137" customFormat="false" ht="15" hidden="false" customHeight="false" outlineLevel="0" collapsed="false">
      <c r="A137" s="2" t="s">
        <v>277</v>
      </c>
      <c r="B137" s="2" t="s">
        <v>108</v>
      </c>
      <c r="C137" s="2" t="s">
        <v>58</v>
      </c>
      <c r="D137" s="2" t="s">
        <v>48</v>
      </c>
      <c r="E137" s="2" t="s">
        <v>16</v>
      </c>
      <c r="F137" s="2" t="s">
        <v>7</v>
      </c>
      <c r="G137" s="2" t="s">
        <v>49</v>
      </c>
      <c r="H137" s="11" t="n">
        <v>46227</v>
      </c>
      <c r="I137" s="11" t="n">
        <v>46237</v>
      </c>
      <c r="J137" s="2" t="n">
        <f aca="false">IF(I137="","",I137-H137)</f>
        <v>10</v>
      </c>
    </row>
    <row r="138" customFormat="false" ht="15" hidden="false" customHeight="false" outlineLevel="0" collapsed="false">
      <c r="A138" s="2" t="s">
        <v>278</v>
      </c>
      <c r="B138" s="2" t="s">
        <v>279</v>
      </c>
      <c r="C138" s="2" t="s">
        <v>54</v>
      </c>
      <c r="D138" s="2" t="s">
        <v>68</v>
      </c>
      <c r="E138" s="2" t="s">
        <v>15</v>
      </c>
      <c r="F138" s="2" t="s">
        <v>7</v>
      </c>
      <c r="G138" s="2" t="s">
        <v>37</v>
      </c>
      <c r="H138" s="11" t="n">
        <v>46299</v>
      </c>
      <c r="I138" s="11" t="n">
        <v>46307</v>
      </c>
      <c r="J138" s="2" t="n">
        <f aca="false">IF(I138="","",I138-H138)</f>
        <v>8</v>
      </c>
    </row>
    <row r="139" customFormat="false" ht="15" hidden="false" customHeight="false" outlineLevel="0" collapsed="false">
      <c r="A139" s="2" t="s">
        <v>280</v>
      </c>
      <c r="B139" s="2" t="s">
        <v>237</v>
      </c>
      <c r="C139" s="2" t="s">
        <v>54</v>
      </c>
      <c r="D139" s="2" t="s">
        <v>68</v>
      </c>
      <c r="E139" s="2" t="s">
        <v>15</v>
      </c>
      <c r="F139" s="2" t="s">
        <v>7</v>
      </c>
      <c r="G139" s="2" t="s">
        <v>49</v>
      </c>
      <c r="H139" s="11" t="n">
        <v>46266</v>
      </c>
      <c r="I139" s="11" t="n">
        <v>46267</v>
      </c>
      <c r="J139" s="2" t="n">
        <f aca="false">IF(I139="","",I139-H139)</f>
        <v>1</v>
      </c>
    </row>
    <row r="140" customFormat="false" ht="15" hidden="false" customHeight="false" outlineLevel="0" collapsed="false">
      <c r="A140" s="2" t="s">
        <v>281</v>
      </c>
      <c r="B140" s="2" t="s">
        <v>86</v>
      </c>
      <c r="C140" s="2" t="s">
        <v>40</v>
      </c>
      <c r="D140" s="2" t="s">
        <v>48</v>
      </c>
      <c r="E140" s="2" t="s">
        <v>16</v>
      </c>
      <c r="F140" s="2" t="s">
        <v>7</v>
      </c>
      <c r="G140" s="2" t="s">
        <v>37</v>
      </c>
      <c r="H140" s="11" t="n">
        <v>46289</v>
      </c>
      <c r="I140" s="11" t="n">
        <v>46296</v>
      </c>
      <c r="J140" s="2" t="n">
        <f aca="false">IF(I140="","",I140-H140)</f>
        <v>7</v>
      </c>
    </row>
    <row r="141" customFormat="false" ht="15" hidden="false" customHeight="false" outlineLevel="0" collapsed="false">
      <c r="A141" s="2" t="s">
        <v>282</v>
      </c>
      <c r="B141" s="2" t="s">
        <v>121</v>
      </c>
      <c r="C141" s="2" t="s">
        <v>54</v>
      </c>
      <c r="D141" s="2" t="s">
        <v>36</v>
      </c>
      <c r="E141" s="2" t="s">
        <v>16</v>
      </c>
      <c r="F141" s="2" t="s">
        <v>7</v>
      </c>
      <c r="G141" s="2" t="s">
        <v>42</v>
      </c>
      <c r="H141" s="11" t="n">
        <v>46229</v>
      </c>
      <c r="I141" s="11" t="n">
        <v>46233</v>
      </c>
      <c r="J141" s="2" t="n">
        <f aca="false">IF(I141="","",I141-H141)</f>
        <v>4</v>
      </c>
    </row>
    <row r="142" customFormat="false" ht="15" hidden="false" customHeight="false" outlineLevel="0" collapsed="false">
      <c r="A142" s="2" t="s">
        <v>283</v>
      </c>
      <c r="B142" s="2" t="s">
        <v>284</v>
      </c>
      <c r="C142" s="2" t="s">
        <v>58</v>
      </c>
      <c r="D142" s="2" t="s">
        <v>68</v>
      </c>
      <c r="E142" s="2" t="s">
        <v>16</v>
      </c>
      <c r="F142" s="2" t="s">
        <v>7</v>
      </c>
      <c r="G142" s="2" t="s">
        <v>37</v>
      </c>
      <c r="H142" s="11" t="n">
        <v>46302</v>
      </c>
      <c r="I142" s="11" t="n">
        <v>46303</v>
      </c>
      <c r="J142" s="2" t="n">
        <f aca="false">IF(I142="","",I142-H142)</f>
        <v>1</v>
      </c>
    </row>
    <row r="143" customFormat="false" ht="15" hidden="false" customHeight="false" outlineLevel="0" collapsed="false">
      <c r="A143" s="2" t="s">
        <v>285</v>
      </c>
      <c r="B143" s="2" t="s">
        <v>98</v>
      </c>
      <c r="C143" s="2" t="s">
        <v>40</v>
      </c>
      <c r="D143" s="2" t="s">
        <v>41</v>
      </c>
      <c r="E143" s="2" t="s">
        <v>16</v>
      </c>
      <c r="F143" s="2" t="s">
        <v>7</v>
      </c>
      <c r="G143" s="2" t="s">
        <v>37</v>
      </c>
      <c r="H143" s="11" t="n">
        <v>46205</v>
      </c>
      <c r="I143" s="11" t="n">
        <v>46211</v>
      </c>
      <c r="J143" s="2" t="n">
        <f aca="false">IF(I143="","",I143-H143)</f>
        <v>6</v>
      </c>
    </row>
    <row r="144" customFormat="false" ht="15" hidden="false" customHeight="false" outlineLevel="0" collapsed="false">
      <c r="A144" s="2" t="s">
        <v>286</v>
      </c>
      <c r="B144" s="2" t="s">
        <v>287</v>
      </c>
      <c r="C144" s="2" t="s">
        <v>40</v>
      </c>
      <c r="D144" s="2" t="s">
        <v>68</v>
      </c>
      <c r="E144" s="2" t="s">
        <v>15</v>
      </c>
      <c r="F144" s="2" t="s">
        <v>7</v>
      </c>
      <c r="G144" s="2" t="s">
        <v>42</v>
      </c>
      <c r="H144" s="11" t="n">
        <v>46226</v>
      </c>
      <c r="I144" s="11" t="n">
        <v>46234</v>
      </c>
      <c r="J144" s="2" t="n">
        <f aca="false">IF(I144="","",I144-H144)</f>
        <v>8</v>
      </c>
    </row>
    <row r="145" customFormat="false" ht="15" hidden="false" customHeight="false" outlineLevel="0" collapsed="false">
      <c r="A145" s="2" t="s">
        <v>288</v>
      </c>
      <c r="B145" s="2" t="s">
        <v>65</v>
      </c>
      <c r="C145" s="2" t="s">
        <v>45</v>
      </c>
      <c r="D145" s="2" t="s">
        <v>68</v>
      </c>
      <c r="E145" s="2" t="s">
        <v>15</v>
      </c>
      <c r="F145" s="2" t="s">
        <v>7</v>
      </c>
      <c r="G145" s="2" t="s">
        <v>42</v>
      </c>
      <c r="H145" s="11" t="n">
        <v>46284</v>
      </c>
      <c r="I145" s="11" t="n">
        <v>46292</v>
      </c>
      <c r="J145" s="2" t="n">
        <f aca="false">IF(I145="","",I145-H145)</f>
        <v>8</v>
      </c>
    </row>
    <row r="146" customFormat="false" ht="15" hidden="false" customHeight="false" outlineLevel="0" collapsed="false">
      <c r="A146" s="2" t="s">
        <v>289</v>
      </c>
      <c r="B146" s="2" t="s">
        <v>74</v>
      </c>
      <c r="C146" s="2" t="s">
        <v>54</v>
      </c>
      <c r="D146" s="2" t="s">
        <v>68</v>
      </c>
      <c r="E146" s="2" t="s">
        <v>16</v>
      </c>
      <c r="F146" s="2" t="s">
        <v>7</v>
      </c>
      <c r="G146" s="2" t="s">
        <v>42</v>
      </c>
      <c r="H146" s="11" t="n">
        <v>46213</v>
      </c>
      <c r="I146" s="11" t="n">
        <v>46217</v>
      </c>
      <c r="J146" s="2" t="n">
        <f aca="false">IF(I146="","",I146-H146)</f>
        <v>4</v>
      </c>
    </row>
    <row r="147" customFormat="false" ht="15" hidden="false" customHeight="false" outlineLevel="0" collapsed="false">
      <c r="A147" s="2" t="s">
        <v>290</v>
      </c>
      <c r="B147" s="2" t="s">
        <v>60</v>
      </c>
      <c r="C147" s="2" t="s">
        <v>45</v>
      </c>
      <c r="D147" s="2" t="s">
        <v>48</v>
      </c>
      <c r="E147" s="2" t="s">
        <v>16</v>
      </c>
      <c r="F147" s="2" t="s">
        <v>7</v>
      </c>
      <c r="G147" s="2" t="s">
        <v>49</v>
      </c>
      <c r="H147" s="11" t="n">
        <v>46307</v>
      </c>
      <c r="I147" s="11" t="n">
        <v>46317</v>
      </c>
      <c r="J147" s="2" t="n">
        <f aca="false">IF(I147="","",I147-H147)</f>
        <v>10</v>
      </c>
    </row>
    <row r="148" customFormat="false" ht="15" hidden="false" customHeight="false" outlineLevel="0" collapsed="false">
      <c r="A148" s="2" t="s">
        <v>291</v>
      </c>
      <c r="B148" s="2" t="s">
        <v>175</v>
      </c>
      <c r="C148" s="2" t="s">
        <v>45</v>
      </c>
      <c r="D148" s="2" t="s">
        <v>48</v>
      </c>
      <c r="E148" s="2" t="s">
        <v>15</v>
      </c>
      <c r="F148" s="2" t="s">
        <v>7</v>
      </c>
      <c r="G148" s="2" t="s">
        <v>49</v>
      </c>
      <c r="H148" s="11" t="n">
        <v>46238</v>
      </c>
      <c r="I148" s="11" t="n">
        <v>46241</v>
      </c>
      <c r="J148" s="2" t="n">
        <f aca="false">IF(I148="","",I148-H148)</f>
        <v>3</v>
      </c>
    </row>
    <row r="149" customFormat="false" ht="15" hidden="false" customHeight="false" outlineLevel="0" collapsed="false">
      <c r="A149" s="2" t="s">
        <v>292</v>
      </c>
      <c r="B149" s="2" t="s">
        <v>110</v>
      </c>
      <c r="C149" s="2" t="s">
        <v>54</v>
      </c>
      <c r="D149" s="2" t="s">
        <v>48</v>
      </c>
      <c r="E149" s="2" t="s">
        <v>15</v>
      </c>
      <c r="F149" s="2" t="s">
        <v>7</v>
      </c>
      <c r="G149" s="2" t="s">
        <v>42</v>
      </c>
      <c r="H149" s="11" t="n">
        <v>46226</v>
      </c>
      <c r="I149" s="11" t="n">
        <v>46236</v>
      </c>
      <c r="J149" s="2" t="n">
        <f aca="false">IF(I149="","",I149-H149)</f>
        <v>10</v>
      </c>
    </row>
    <row r="150" customFormat="false" ht="15" hidden="false" customHeight="false" outlineLevel="0" collapsed="false">
      <c r="A150" s="2" t="s">
        <v>293</v>
      </c>
      <c r="B150" s="2" t="s">
        <v>204</v>
      </c>
      <c r="C150" s="2" t="s">
        <v>54</v>
      </c>
      <c r="D150" s="2" t="s">
        <v>36</v>
      </c>
      <c r="E150" s="2" t="s">
        <v>16</v>
      </c>
      <c r="F150" s="2" t="s">
        <v>7</v>
      </c>
      <c r="G150" s="2" t="s">
        <v>37</v>
      </c>
      <c r="H150" s="11" t="n">
        <v>46229</v>
      </c>
      <c r="I150" s="11" t="n">
        <v>46240</v>
      </c>
      <c r="J150" s="2" t="n">
        <f aca="false">IF(I150="","",I150-H150)</f>
        <v>11</v>
      </c>
    </row>
    <row r="151" customFormat="false" ht="15" hidden="false" customHeight="false" outlineLevel="0" collapsed="false">
      <c r="A151" s="2" t="s">
        <v>294</v>
      </c>
      <c r="B151" s="2" t="s">
        <v>72</v>
      </c>
      <c r="C151" s="2" t="s">
        <v>54</v>
      </c>
      <c r="D151" s="2" t="s">
        <v>48</v>
      </c>
      <c r="E151" s="2" t="s">
        <v>15</v>
      </c>
      <c r="F151" s="2" t="s">
        <v>7</v>
      </c>
      <c r="G151" s="2" t="s">
        <v>55</v>
      </c>
      <c r="H151" s="11" t="n">
        <v>46275</v>
      </c>
      <c r="I151" s="11" t="n">
        <v>46281</v>
      </c>
      <c r="J151" s="2" t="n">
        <f aca="false">IF(I151="","",I151-H151)</f>
        <v>6</v>
      </c>
    </row>
    <row r="152" customFormat="false" ht="15" hidden="false" customHeight="false" outlineLevel="0" collapsed="false">
      <c r="A152" s="2" t="s">
        <v>295</v>
      </c>
      <c r="B152" s="2" t="s">
        <v>82</v>
      </c>
      <c r="C152" s="2" t="s">
        <v>58</v>
      </c>
      <c r="D152" s="2" t="s">
        <v>41</v>
      </c>
      <c r="E152" s="2" t="s">
        <v>16</v>
      </c>
      <c r="F152" s="2" t="s">
        <v>7</v>
      </c>
      <c r="G152" s="2" t="s">
        <v>37</v>
      </c>
      <c r="H152" s="11" t="n">
        <v>46247</v>
      </c>
      <c r="I152" s="11" t="n">
        <v>46254</v>
      </c>
      <c r="J152" s="2" t="n">
        <f aca="false">IF(I152="","",I152-H152)</f>
        <v>7</v>
      </c>
    </row>
    <row r="153" customFormat="false" ht="15" hidden="false" customHeight="false" outlineLevel="0" collapsed="false">
      <c r="A153" s="2" t="s">
        <v>296</v>
      </c>
      <c r="B153" s="2" t="s">
        <v>297</v>
      </c>
      <c r="C153" s="2" t="s">
        <v>35</v>
      </c>
      <c r="D153" s="2" t="s">
        <v>41</v>
      </c>
      <c r="E153" s="2" t="s">
        <v>15</v>
      </c>
      <c r="F153" s="2" t="s">
        <v>7</v>
      </c>
      <c r="G153" s="2" t="s">
        <v>37</v>
      </c>
      <c r="H153" s="11" t="n">
        <v>46305</v>
      </c>
      <c r="I153" s="11" t="n">
        <v>46308</v>
      </c>
      <c r="J153" s="2" t="n">
        <f aca="false">IF(I153="","",I153-H153)</f>
        <v>3</v>
      </c>
    </row>
    <row r="154" customFormat="false" ht="15" hidden="false" customHeight="false" outlineLevel="0" collapsed="false">
      <c r="A154" s="2" t="s">
        <v>298</v>
      </c>
      <c r="B154" s="2" t="s">
        <v>299</v>
      </c>
      <c r="C154" s="2" t="s">
        <v>54</v>
      </c>
      <c r="D154" s="2" t="s">
        <v>48</v>
      </c>
      <c r="E154" s="2" t="s">
        <v>16</v>
      </c>
      <c r="F154" s="2" t="s">
        <v>8</v>
      </c>
      <c r="G154" s="2" t="s">
        <v>42</v>
      </c>
      <c r="H154" s="11" t="n">
        <v>46261</v>
      </c>
      <c r="I154" s="11" t="n">
        <v>46264</v>
      </c>
      <c r="J154" s="2" t="n">
        <f aca="false">IF(I154="","",I154-H154)</f>
        <v>3</v>
      </c>
    </row>
    <row r="155" customFormat="false" ht="15" hidden="false" customHeight="false" outlineLevel="0" collapsed="false">
      <c r="A155" s="2" t="s">
        <v>300</v>
      </c>
      <c r="B155" s="2" t="s">
        <v>154</v>
      </c>
      <c r="C155" s="2" t="s">
        <v>40</v>
      </c>
      <c r="D155" s="2" t="s">
        <v>41</v>
      </c>
      <c r="E155" s="2" t="s">
        <v>15</v>
      </c>
      <c r="F155" s="2" t="s">
        <v>6</v>
      </c>
      <c r="G155" s="2" t="s">
        <v>55</v>
      </c>
      <c r="H155" s="11" t="n">
        <v>46313</v>
      </c>
      <c r="I155" s="11"/>
      <c r="J155" s="2" t="str">
        <f aca="false">IF(I155="","",I155-H155)</f>
        <v/>
      </c>
    </row>
    <row r="156" customFormat="false" ht="15" hidden="false" customHeight="false" outlineLevel="0" collapsed="false">
      <c r="A156" s="2" t="s">
        <v>301</v>
      </c>
      <c r="B156" s="2" t="s">
        <v>57</v>
      </c>
      <c r="C156" s="2" t="s">
        <v>35</v>
      </c>
      <c r="D156" s="2" t="s">
        <v>68</v>
      </c>
      <c r="E156" s="2" t="s">
        <v>16</v>
      </c>
      <c r="F156" s="2" t="s">
        <v>7</v>
      </c>
      <c r="G156" s="2" t="s">
        <v>49</v>
      </c>
      <c r="H156" s="11" t="n">
        <v>46302</v>
      </c>
      <c r="I156" s="11" t="n">
        <v>46305</v>
      </c>
      <c r="J156" s="2" t="n">
        <f aca="false">IF(I156="","",I156-H156)</f>
        <v>3</v>
      </c>
    </row>
    <row r="157" customFormat="false" ht="15" hidden="false" customHeight="false" outlineLevel="0" collapsed="false">
      <c r="A157" s="2" t="s">
        <v>302</v>
      </c>
      <c r="B157" s="2" t="s">
        <v>303</v>
      </c>
      <c r="C157" s="2" t="s">
        <v>45</v>
      </c>
      <c r="D157" s="2" t="s">
        <v>48</v>
      </c>
      <c r="E157" s="2" t="s">
        <v>15</v>
      </c>
      <c r="F157" s="2" t="s">
        <v>7</v>
      </c>
      <c r="G157" s="2" t="s">
        <v>49</v>
      </c>
      <c r="H157" s="11" t="n">
        <v>46307</v>
      </c>
      <c r="I157" s="11" t="n">
        <v>46308</v>
      </c>
      <c r="J157" s="2" t="n">
        <f aca="false">IF(I157="","",I157-H157)</f>
        <v>1</v>
      </c>
    </row>
    <row r="158" customFormat="false" ht="15" hidden="false" customHeight="false" outlineLevel="0" collapsed="false">
      <c r="A158" s="2" t="s">
        <v>304</v>
      </c>
      <c r="B158" s="2" t="s">
        <v>305</v>
      </c>
      <c r="C158" s="2" t="s">
        <v>54</v>
      </c>
      <c r="D158" s="2" t="s">
        <v>41</v>
      </c>
      <c r="E158" s="2" t="s">
        <v>15</v>
      </c>
      <c r="F158" s="2" t="s">
        <v>7</v>
      </c>
      <c r="G158" s="2" t="s">
        <v>37</v>
      </c>
      <c r="H158" s="11" t="n">
        <v>46219</v>
      </c>
      <c r="I158" s="11" t="n">
        <v>46220</v>
      </c>
      <c r="J158" s="2" t="n">
        <f aca="false">IF(I158="","",I158-H158)</f>
        <v>1</v>
      </c>
    </row>
    <row r="159" customFormat="false" ht="15" hidden="false" customHeight="false" outlineLevel="0" collapsed="false">
      <c r="A159" s="2" t="s">
        <v>306</v>
      </c>
      <c r="B159" s="2" t="s">
        <v>307</v>
      </c>
      <c r="C159" s="2" t="s">
        <v>54</v>
      </c>
      <c r="D159" s="2" t="s">
        <v>36</v>
      </c>
      <c r="E159" s="2" t="s">
        <v>16</v>
      </c>
      <c r="F159" s="2" t="s">
        <v>7</v>
      </c>
      <c r="G159" s="2" t="s">
        <v>37</v>
      </c>
      <c r="H159" s="11" t="n">
        <v>46276</v>
      </c>
      <c r="I159" s="11" t="n">
        <v>46282</v>
      </c>
      <c r="J159" s="2" t="n">
        <f aca="false">IF(I159="","",I159-H159)</f>
        <v>6</v>
      </c>
    </row>
    <row r="160" customFormat="false" ht="15" hidden="false" customHeight="false" outlineLevel="0" collapsed="false">
      <c r="A160" s="2" t="s">
        <v>308</v>
      </c>
      <c r="B160" s="2" t="s">
        <v>309</v>
      </c>
      <c r="C160" s="2" t="s">
        <v>54</v>
      </c>
      <c r="D160" s="2" t="s">
        <v>48</v>
      </c>
      <c r="E160" s="2" t="s">
        <v>16</v>
      </c>
      <c r="F160" s="2" t="s">
        <v>8</v>
      </c>
      <c r="G160" s="2" t="s">
        <v>49</v>
      </c>
      <c r="H160" s="11" t="n">
        <v>46210</v>
      </c>
      <c r="I160" s="11" t="n">
        <v>46222</v>
      </c>
      <c r="J160" s="2" t="n">
        <f aca="false">IF(I160="","",I160-H160)</f>
        <v>12</v>
      </c>
    </row>
    <row r="161" customFormat="false" ht="15" hidden="false" customHeight="false" outlineLevel="0" collapsed="false">
      <c r="A161" s="2" t="s">
        <v>310</v>
      </c>
      <c r="B161" s="2" t="s">
        <v>146</v>
      </c>
      <c r="C161" s="2" t="s">
        <v>58</v>
      </c>
      <c r="D161" s="2" t="s">
        <v>48</v>
      </c>
      <c r="E161" s="2" t="s">
        <v>16</v>
      </c>
      <c r="F161" s="2" t="s">
        <v>7</v>
      </c>
      <c r="G161" s="2" t="s">
        <v>55</v>
      </c>
      <c r="H161" s="11" t="n">
        <v>46283</v>
      </c>
      <c r="I161" s="11" t="n">
        <v>46288</v>
      </c>
      <c r="J161" s="2" t="n">
        <f aca="false">IF(I161="","",I161-H161)</f>
        <v>5</v>
      </c>
    </row>
    <row r="162" customFormat="false" ht="15" hidden="false" customHeight="false" outlineLevel="0" collapsed="false">
      <c r="A162" s="2" t="s">
        <v>311</v>
      </c>
      <c r="B162" s="2" t="s">
        <v>239</v>
      </c>
      <c r="C162" s="2" t="s">
        <v>58</v>
      </c>
      <c r="D162" s="2" t="s">
        <v>68</v>
      </c>
      <c r="E162" s="2" t="s">
        <v>16</v>
      </c>
      <c r="F162" s="2" t="s">
        <v>8</v>
      </c>
      <c r="G162" s="2" t="s">
        <v>42</v>
      </c>
      <c r="H162" s="11" t="n">
        <v>46283</v>
      </c>
      <c r="I162" s="11" t="n">
        <v>46295</v>
      </c>
      <c r="J162" s="2" t="n">
        <f aca="false">IF(I162="","",I162-H162)</f>
        <v>12</v>
      </c>
    </row>
    <row r="163" customFormat="false" ht="15" hidden="false" customHeight="false" outlineLevel="0" collapsed="false">
      <c r="A163" s="2" t="s">
        <v>312</v>
      </c>
      <c r="B163" s="2" t="s">
        <v>313</v>
      </c>
      <c r="C163" s="2" t="s">
        <v>40</v>
      </c>
      <c r="D163" s="2" t="s">
        <v>68</v>
      </c>
      <c r="E163" s="2" t="s">
        <v>16</v>
      </c>
      <c r="F163" s="2" t="s">
        <v>7</v>
      </c>
      <c r="G163" s="2" t="s">
        <v>42</v>
      </c>
      <c r="H163" s="11" t="n">
        <v>46213</v>
      </c>
      <c r="I163" s="11" t="n">
        <v>46220</v>
      </c>
      <c r="J163" s="2" t="n">
        <f aca="false">IF(I163="","",I163-H163)</f>
        <v>7</v>
      </c>
    </row>
    <row r="164" customFormat="false" ht="15" hidden="false" customHeight="false" outlineLevel="0" collapsed="false">
      <c r="A164" s="2" t="s">
        <v>314</v>
      </c>
      <c r="B164" s="2" t="s">
        <v>315</v>
      </c>
      <c r="C164" s="2" t="s">
        <v>45</v>
      </c>
      <c r="D164" s="2" t="s">
        <v>48</v>
      </c>
      <c r="E164" s="2" t="s">
        <v>15</v>
      </c>
      <c r="F164" s="2" t="s">
        <v>7</v>
      </c>
      <c r="G164" s="2" t="s">
        <v>42</v>
      </c>
      <c r="H164" s="11" t="n">
        <v>46247</v>
      </c>
      <c r="I164" s="11" t="n">
        <v>46257</v>
      </c>
      <c r="J164" s="2" t="n">
        <f aca="false">IF(I164="","",I164-H164)</f>
        <v>10</v>
      </c>
    </row>
    <row r="165" customFormat="false" ht="15" hidden="false" customHeight="false" outlineLevel="0" collapsed="false">
      <c r="A165" s="2" t="s">
        <v>316</v>
      </c>
      <c r="B165" s="2" t="s">
        <v>247</v>
      </c>
      <c r="C165" s="2" t="s">
        <v>45</v>
      </c>
      <c r="D165" s="2" t="s">
        <v>68</v>
      </c>
      <c r="E165" s="2" t="s">
        <v>15</v>
      </c>
      <c r="F165" s="2" t="s">
        <v>6</v>
      </c>
      <c r="G165" s="2" t="s">
        <v>37</v>
      </c>
      <c r="H165" s="11" t="n">
        <v>46308</v>
      </c>
      <c r="I165" s="11"/>
      <c r="J165" s="2" t="str">
        <f aca="false">IF(I165="","",I165-H165)</f>
        <v/>
      </c>
    </row>
    <row r="166" customFormat="false" ht="15" hidden="false" customHeight="false" outlineLevel="0" collapsed="false">
      <c r="A166" s="2" t="s">
        <v>317</v>
      </c>
      <c r="B166" s="2" t="s">
        <v>318</v>
      </c>
      <c r="C166" s="2" t="s">
        <v>54</v>
      </c>
      <c r="D166" s="2" t="s">
        <v>68</v>
      </c>
      <c r="E166" s="2" t="s">
        <v>16</v>
      </c>
      <c r="F166" s="2" t="s">
        <v>6</v>
      </c>
      <c r="G166" s="2" t="s">
        <v>49</v>
      </c>
      <c r="H166" s="11" t="n">
        <v>46311</v>
      </c>
      <c r="I166" s="11"/>
      <c r="J166" s="2" t="str">
        <f aca="false">IF(I166="","",I166-H166)</f>
        <v/>
      </c>
    </row>
    <row r="167" customFormat="false" ht="15" hidden="false" customHeight="false" outlineLevel="0" collapsed="false">
      <c r="A167" s="2" t="s">
        <v>319</v>
      </c>
      <c r="B167" s="2" t="s">
        <v>320</v>
      </c>
      <c r="C167" s="2" t="s">
        <v>40</v>
      </c>
      <c r="D167" s="2" t="s">
        <v>68</v>
      </c>
      <c r="E167" s="2" t="s">
        <v>16</v>
      </c>
      <c r="F167" s="2" t="s">
        <v>7</v>
      </c>
      <c r="G167" s="2" t="s">
        <v>42</v>
      </c>
      <c r="H167" s="11" t="n">
        <v>46273</v>
      </c>
      <c r="I167" s="11" t="n">
        <v>46282</v>
      </c>
      <c r="J167" s="2" t="n">
        <f aca="false">IF(I167="","",I167-H167)</f>
        <v>9</v>
      </c>
    </row>
    <row r="168" customFormat="false" ht="15" hidden="false" customHeight="false" outlineLevel="0" collapsed="false">
      <c r="A168" s="2" t="s">
        <v>321</v>
      </c>
      <c r="B168" s="2" t="s">
        <v>322</v>
      </c>
      <c r="C168" s="2" t="s">
        <v>58</v>
      </c>
      <c r="D168" s="2" t="s">
        <v>68</v>
      </c>
      <c r="E168" s="2" t="s">
        <v>15</v>
      </c>
      <c r="F168" s="2" t="s">
        <v>7</v>
      </c>
      <c r="G168" s="2" t="s">
        <v>49</v>
      </c>
      <c r="H168" s="11" t="n">
        <v>46244</v>
      </c>
      <c r="I168" s="11" t="n">
        <v>46255</v>
      </c>
      <c r="J168" s="2" t="n">
        <f aca="false">IF(I168="","",I168-H168)</f>
        <v>11</v>
      </c>
    </row>
    <row r="169" customFormat="false" ht="15" hidden="false" customHeight="false" outlineLevel="0" collapsed="false">
      <c r="A169" s="2" t="s">
        <v>323</v>
      </c>
      <c r="B169" s="2" t="s">
        <v>139</v>
      </c>
      <c r="C169" s="2" t="s">
        <v>58</v>
      </c>
      <c r="D169" s="2" t="s">
        <v>68</v>
      </c>
      <c r="E169" s="2" t="s">
        <v>15</v>
      </c>
      <c r="F169" s="2" t="s">
        <v>7</v>
      </c>
      <c r="G169" s="2" t="s">
        <v>55</v>
      </c>
      <c r="H169" s="11" t="n">
        <v>46206</v>
      </c>
      <c r="I169" s="11" t="n">
        <v>46216</v>
      </c>
      <c r="J169" s="2" t="n">
        <f aca="false">IF(I169="","",I169-H169)</f>
        <v>10</v>
      </c>
    </row>
    <row r="170" customFormat="false" ht="15" hidden="false" customHeight="false" outlineLevel="0" collapsed="false">
      <c r="A170" s="2" t="s">
        <v>324</v>
      </c>
      <c r="B170" s="2" t="s">
        <v>325</v>
      </c>
      <c r="C170" s="2" t="s">
        <v>45</v>
      </c>
      <c r="D170" s="2" t="s">
        <v>48</v>
      </c>
      <c r="E170" s="2" t="s">
        <v>15</v>
      </c>
      <c r="F170" s="2" t="s">
        <v>7</v>
      </c>
      <c r="G170" s="2" t="s">
        <v>42</v>
      </c>
      <c r="H170" s="11" t="n">
        <v>46229</v>
      </c>
      <c r="I170" s="11" t="n">
        <v>46237</v>
      </c>
      <c r="J170" s="2" t="n">
        <f aca="false">IF(I170="","",I170-H170)</f>
        <v>8</v>
      </c>
    </row>
    <row r="171" customFormat="false" ht="15" hidden="false" customHeight="false" outlineLevel="0" collapsed="false">
      <c r="A171" s="2" t="s">
        <v>326</v>
      </c>
      <c r="B171" s="2" t="s">
        <v>159</v>
      </c>
      <c r="C171" s="2" t="s">
        <v>40</v>
      </c>
      <c r="D171" s="2" t="s">
        <v>41</v>
      </c>
      <c r="E171" s="2" t="s">
        <v>15</v>
      </c>
      <c r="F171" s="2" t="s">
        <v>7</v>
      </c>
      <c r="G171" s="2" t="s">
        <v>37</v>
      </c>
      <c r="H171" s="11" t="n">
        <v>46273</v>
      </c>
      <c r="I171" s="11" t="n">
        <v>46284</v>
      </c>
      <c r="J171" s="2" t="n">
        <f aca="false">IF(I171="","",I171-H171)</f>
        <v>11</v>
      </c>
    </row>
    <row r="172" customFormat="false" ht="15" hidden="false" customHeight="false" outlineLevel="0" collapsed="false">
      <c r="A172" s="2" t="s">
        <v>327</v>
      </c>
      <c r="B172" s="2" t="s">
        <v>183</v>
      </c>
      <c r="C172" s="2" t="s">
        <v>45</v>
      </c>
      <c r="D172" s="2" t="s">
        <v>41</v>
      </c>
      <c r="E172" s="2" t="s">
        <v>15</v>
      </c>
      <c r="F172" s="2" t="s">
        <v>7</v>
      </c>
      <c r="G172" s="2" t="s">
        <v>42</v>
      </c>
      <c r="H172" s="11" t="n">
        <v>46245</v>
      </c>
      <c r="I172" s="11" t="n">
        <v>46256</v>
      </c>
      <c r="J172" s="2" t="n">
        <f aca="false">IF(I172="","",I172-H172)</f>
        <v>11</v>
      </c>
    </row>
    <row r="173" customFormat="false" ht="15" hidden="false" customHeight="false" outlineLevel="0" collapsed="false">
      <c r="A173" s="2" t="s">
        <v>328</v>
      </c>
      <c r="B173" s="2" t="s">
        <v>329</v>
      </c>
      <c r="C173" s="2" t="s">
        <v>58</v>
      </c>
      <c r="D173" s="2" t="s">
        <v>36</v>
      </c>
      <c r="E173" s="2" t="s">
        <v>16</v>
      </c>
      <c r="F173" s="2" t="s">
        <v>7</v>
      </c>
      <c r="G173" s="2" t="s">
        <v>49</v>
      </c>
      <c r="H173" s="11" t="n">
        <v>46258</v>
      </c>
      <c r="I173" s="11" t="n">
        <v>46263</v>
      </c>
      <c r="J173" s="2" t="n">
        <f aca="false">IF(I173="","",I173-H173)</f>
        <v>5</v>
      </c>
    </row>
    <row r="174" customFormat="false" ht="15" hidden="false" customHeight="false" outlineLevel="0" collapsed="false">
      <c r="A174" s="2" t="s">
        <v>330</v>
      </c>
      <c r="B174" s="2" t="s">
        <v>74</v>
      </c>
      <c r="C174" s="2" t="s">
        <v>54</v>
      </c>
      <c r="D174" s="2" t="s">
        <v>36</v>
      </c>
      <c r="E174" s="2" t="s">
        <v>16</v>
      </c>
      <c r="F174" s="2" t="s">
        <v>6</v>
      </c>
      <c r="G174" s="2" t="s">
        <v>42</v>
      </c>
      <c r="H174" s="11" t="n">
        <v>46317</v>
      </c>
      <c r="I174" s="11"/>
      <c r="J174" s="2" t="str">
        <f aca="false">IF(I174="","",I174-H174)</f>
        <v/>
      </c>
    </row>
    <row r="175" customFormat="false" ht="15" hidden="false" customHeight="false" outlineLevel="0" collapsed="false">
      <c r="A175" s="2" t="s">
        <v>331</v>
      </c>
      <c r="B175" s="2" t="s">
        <v>161</v>
      </c>
      <c r="C175" s="2" t="s">
        <v>54</v>
      </c>
      <c r="D175" s="2" t="s">
        <v>68</v>
      </c>
      <c r="E175" s="2" t="s">
        <v>15</v>
      </c>
      <c r="F175" s="2" t="s">
        <v>6</v>
      </c>
      <c r="G175" s="2" t="s">
        <v>55</v>
      </c>
      <c r="H175" s="11" t="n">
        <v>46309</v>
      </c>
      <c r="I175" s="11"/>
      <c r="J175" s="2" t="str">
        <f aca="false">IF(I175="","",I175-H175)</f>
        <v/>
      </c>
    </row>
    <row r="176" customFormat="false" ht="15" hidden="false" customHeight="false" outlineLevel="0" collapsed="false">
      <c r="A176" s="2" t="s">
        <v>332</v>
      </c>
      <c r="B176" s="2" t="s">
        <v>161</v>
      </c>
      <c r="C176" s="2" t="s">
        <v>35</v>
      </c>
      <c r="D176" s="2" t="s">
        <v>48</v>
      </c>
      <c r="E176" s="2" t="s">
        <v>16</v>
      </c>
      <c r="F176" s="2" t="s">
        <v>7</v>
      </c>
      <c r="G176" s="2" t="s">
        <v>55</v>
      </c>
      <c r="H176" s="11" t="n">
        <v>46245</v>
      </c>
      <c r="I176" s="11" t="n">
        <v>46248</v>
      </c>
      <c r="J176" s="2" t="n">
        <f aca="false">IF(I176="","",I176-H176)</f>
        <v>3</v>
      </c>
    </row>
    <row r="177" customFormat="false" ht="15" hidden="false" customHeight="false" outlineLevel="0" collapsed="false">
      <c r="A177" s="2" t="s">
        <v>333</v>
      </c>
      <c r="B177" s="2" t="s">
        <v>243</v>
      </c>
      <c r="C177" s="2" t="s">
        <v>54</v>
      </c>
      <c r="D177" s="2" t="s">
        <v>36</v>
      </c>
      <c r="E177" s="2" t="s">
        <v>16</v>
      </c>
      <c r="F177" s="2" t="s">
        <v>7</v>
      </c>
      <c r="G177" s="2" t="s">
        <v>55</v>
      </c>
      <c r="H177" s="11" t="n">
        <v>46272</v>
      </c>
      <c r="I177" s="11" t="n">
        <v>46284</v>
      </c>
      <c r="J177" s="2" t="n">
        <f aca="false">IF(I177="","",I177-H177)</f>
        <v>12</v>
      </c>
    </row>
    <row r="178" customFormat="false" ht="15" hidden="false" customHeight="false" outlineLevel="0" collapsed="false">
      <c r="A178" s="2" t="s">
        <v>334</v>
      </c>
      <c r="B178" s="2" t="s">
        <v>335</v>
      </c>
      <c r="C178" s="2" t="s">
        <v>40</v>
      </c>
      <c r="D178" s="2" t="s">
        <v>41</v>
      </c>
      <c r="E178" s="2" t="s">
        <v>15</v>
      </c>
      <c r="F178" s="2" t="s">
        <v>7</v>
      </c>
      <c r="G178" s="2" t="s">
        <v>55</v>
      </c>
      <c r="H178" s="11" t="n">
        <v>46212</v>
      </c>
      <c r="I178" s="11" t="n">
        <v>46217</v>
      </c>
      <c r="J178" s="2" t="n">
        <f aca="false">IF(I178="","",I178-H178)</f>
        <v>5</v>
      </c>
    </row>
    <row r="179" customFormat="false" ht="15" hidden="false" customHeight="false" outlineLevel="0" collapsed="false">
      <c r="A179" s="2" t="s">
        <v>336</v>
      </c>
      <c r="B179" s="2" t="s">
        <v>337</v>
      </c>
      <c r="C179" s="2" t="s">
        <v>54</v>
      </c>
      <c r="D179" s="2" t="s">
        <v>68</v>
      </c>
      <c r="E179" s="2" t="s">
        <v>15</v>
      </c>
      <c r="F179" s="2" t="s">
        <v>7</v>
      </c>
      <c r="G179" s="2" t="s">
        <v>49</v>
      </c>
      <c r="H179" s="11" t="n">
        <v>46204</v>
      </c>
      <c r="I179" s="11" t="n">
        <v>46212</v>
      </c>
      <c r="J179" s="2" t="n">
        <f aca="false">IF(I179="","",I179-H179)</f>
        <v>8</v>
      </c>
    </row>
    <row r="180" customFormat="false" ht="15" hidden="false" customHeight="false" outlineLevel="0" collapsed="false">
      <c r="A180" s="2" t="s">
        <v>338</v>
      </c>
      <c r="B180" s="2" t="s">
        <v>339</v>
      </c>
      <c r="C180" s="2" t="s">
        <v>45</v>
      </c>
      <c r="D180" s="2" t="s">
        <v>68</v>
      </c>
      <c r="E180" s="2" t="s">
        <v>15</v>
      </c>
      <c r="F180" s="2" t="s">
        <v>7</v>
      </c>
      <c r="G180" s="2" t="s">
        <v>42</v>
      </c>
      <c r="H180" s="11" t="n">
        <v>46283</v>
      </c>
      <c r="I180" s="11" t="n">
        <v>46289</v>
      </c>
      <c r="J180" s="2" t="n">
        <f aca="false">IF(I180="","",I180-H180)</f>
        <v>6</v>
      </c>
    </row>
    <row r="181" customFormat="false" ht="15" hidden="false" customHeight="false" outlineLevel="0" collapsed="false">
      <c r="A181" s="2" t="s">
        <v>340</v>
      </c>
      <c r="B181" s="2" t="s">
        <v>341</v>
      </c>
      <c r="C181" s="2" t="s">
        <v>54</v>
      </c>
      <c r="D181" s="2" t="s">
        <v>68</v>
      </c>
      <c r="E181" s="2" t="s">
        <v>16</v>
      </c>
      <c r="F181" s="2" t="s">
        <v>6</v>
      </c>
      <c r="G181" s="2" t="s">
        <v>37</v>
      </c>
      <c r="H181" s="11" t="n">
        <v>46235</v>
      </c>
      <c r="I181" s="11"/>
      <c r="J181" s="2" t="str">
        <f aca="false">IF(I181="","",I181-H181)</f>
        <v/>
      </c>
    </row>
    <row r="182" customFormat="false" ht="15" hidden="false" customHeight="false" outlineLevel="0" collapsed="false">
      <c r="A182" s="2" t="s">
        <v>342</v>
      </c>
      <c r="B182" s="2" t="s">
        <v>121</v>
      </c>
      <c r="C182" s="2" t="s">
        <v>58</v>
      </c>
      <c r="D182" s="2" t="s">
        <v>48</v>
      </c>
      <c r="E182" s="2" t="s">
        <v>15</v>
      </c>
      <c r="F182" s="2" t="s">
        <v>7</v>
      </c>
      <c r="G182" s="2" t="s">
        <v>55</v>
      </c>
      <c r="H182" s="11" t="n">
        <v>46281</v>
      </c>
      <c r="I182" s="11" t="n">
        <v>46283</v>
      </c>
      <c r="J182" s="2" t="n">
        <f aca="false">IF(I182="","",I182-H182)</f>
        <v>2</v>
      </c>
    </row>
    <row r="183" customFormat="false" ht="15" hidden="false" customHeight="false" outlineLevel="0" collapsed="false">
      <c r="A183" s="2" t="s">
        <v>343</v>
      </c>
      <c r="B183" s="2" t="s">
        <v>159</v>
      </c>
      <c r="C183" s="2" t="s">
        <v>58</v>
      </c>
      <c r="D183" s="2" t="s">
        <v>41</v>
      </c>
      <c r="E183" s="2" t="s">
        <v>15</v>
      </c>
      <c r="F183" s="2" t="s">
        <v>7</v>
      </c>
      <c r="G183" s="2" t="s">
        <v>49</v>
      </c>
      <c r="H183" s="11" t="n">
        <v>46221</v>
      </c>
      <c r="I183" s="11" t="n">
        <v>46229</v>
      </c>
      <c r="J183" s="2" t="n">
        <f aca="false">IF(I183="","",I183-H183)</f>
        <v>8</v>
      </c>
    </row>
    <row r="184" customFormat="false" ht="15" hidden="false" customHeight="false" outlineLevel="0" collapsed="false">
      <c r="A184" s="2" t="s">
        <v>344</v>
      </c>
      <c r="B184" s="2" t="s">
        <v>74</v>
      </c>
      <c r="C184" s="2" t="s">
        <v>58</v>
      </c>
      <c r="D184" s="2" t="s">
        <v>36</v>
      </c>
      <c r="E184" s="2" t="s">
        <v>15</v>
      </c>
      <c r="F184" s="2" t="s">
        <v>7</v>
      </c>
      <c r="G184" s="2" t="s">
        <v>42</v>
      </c>
      <c r="H184" s="11" t="n">
        <v>46289</v>
      </c>
      <c r="I184" s="11" t="n">
        <v>46298</v>
      </c>
      <c r="J184" s="2" t="n">
        <f aca="false">IF(I184="","",I184-H184)</f>
        <v>9</v>
      </c>
    </row>
    <row r="185" customFormat="false" ht="15" hidden="false" customHeight="false" outlineLevel="0" collapsed="false">
      <c r="A185" s="2" t="s">
        <v>345</v>
      </c>
      <c r="B185" s="2" t="s">
        <v>346</v>
      </c>
      <c r="C185" s="2" t="s">
        <v>58</v>
      </c>
      <c r="D185" s="2" t="s">
        <v>41</v>
      </c>
      <c r="E185" s="2" t="s">
        <v>15</v>
      </c>
      <c r="F185" s="2" t="s">
        <v>7</v>
      </c>
      <c r="G185" s="2" t="s">
        <v>55</v>
      </c>
      <c r="H185" s="11" t="n">
        <v>46311</v>
      </c>
      <c r="I185" s="11" t="n">
        <v>46318</v>
      </c>
      <c r="J185" s="2" t="n">
        <f aca="false">IF(I185="","",I185-H185)</f>
        <v>7</v>
      </c>
    </row>
    <row r="186" customFormat="false" ht="15" hidden="false" customHeight="false" outlineLevel="0" collapsed="false">
      <c r="A186" s="2" t="s">
        <v>347</v>
      </c>
      <c r="B186" s="2" t="s">
        <v>250</v>
      </c>
      <c r="C186" s="2" t="s">
        <v>58</v>
      </c>
      <c r="D186" s="2" t="s">
        <v>41</v>
      </c>
      <c r="E186" s="2" t="s">
        <v>16</v>
      </c>
      <c r="F186" s="2" t="s">
        <v>7</v>
      </c>
      <c r="G186" s="2" t="s">
        <v>42</v>
      </c>
      <c r="H186" s="11" t="n">
        <v>46304</v>
      </c>
      <c r="I186" s="11" t="n">
        <v>46310</v>
      </c>
      <c r="J186" s="2" t="n">
        <f aca="false">IF(I186="","",I186-H186)</f>
        <v>6</v>
      </c>
    </row>
    <row r="187" customFormat="false" ht="15" hidden="false" customHeight="false" outlineLevel="0" collapsed="false">
      <c r="A187" s="2" t="s">
        <v>348</v>
      </c>
      <c r="B187" s="2" t="s">
        <v>349</v>
      </c>
      <c r="C187" s="2" t="s">
        <v>40</v>
      </c>
      <c r="D187" s="2" t="s">
        <v>68</v>
      </c>
      <c r="E187" s="2" t="s">
        <v>16</v>
      </c>
      <c r="F187" s="2" t="s">
        <v>6</v>
      </c>
      <c r="G187" s="2" t="s">
        <v>49</v>
      </c>
      <c r="H187" s="11" t="n">
        <v>46298</v>
      </c>
      <c r="I187" s="11"/>
      <c r="J187" s="2" t="str">
        <f aca="false">IF(I187="","",I187-H187)</f>
        <v/>
      </c>
    </row>
    <row r="188" customFormat="false" ht="15" hidden="false" customHeight="false" outlineLevel="0" collapsed="false">
      <c r="A188" s="2" t="s">
        <v>350</v>
      </c>
      <c r="B188" s="2" t="s">
        <v>133</v>
      </c>
      <c r="C188" s="2" t="s">
        <v>45</v>
      </c>
      <c r="D188" s="2" t="s">
        <v>36</v>
      </c>
      <c r="E188" s="2" t="s">
        <v>15</v>
      </c>
      <c r="F188" s="2" t="s">
        <v>8</v>
      </c>
      <c r="G188" s="2" t="s">
        <v>49</v>
      </c>
      <c r="H188" s="11" t="n">
        <v>46252</v>
      </c>
      <c r="I188" s="11" t="n">
        <v>46257</v>
      </c>
      <c r="J188" s="2" t="n">
        <f aca="false">IF(I188="","",I188-H188)</f>
        <v>5</v>
      </c>
    </row>
    <row r="189" customFormat="false" ht="15" hidden="false" customHeight="false" outlineLevel="0" collapsed="false">
      <c r="A189" s="2" t="s">
        <v>351</v>
      </c>
      <c r="B189" s="2" t="s">
        <v>110</v>
      </c>
      <c r="C189" s="2" t="s">
        <v>45</v>
      </c>
      <c r="D189" s="2" t="s">
        <v>68</v>
      </c>
      <c r="E189" s="2" t="s">
        <v>16</v>
      </c>
      <c r="F189" s="2" t="s">
        <v>7</v>
      </c>
      <c r="G189" s="2" t="s">
        <v>55</v>
      </c>
      <c r="H189" s="11" t="n">
        <v>46209</v>
      </c>
      <c r="I189" s="11" t="n">
        <v>46210</v>
      </c>
      <c r="J189" s="2" t="n">
        <f aca="false">IF(I189="","",I189-H189)</f>
        <v>1</v>
      </c>
    </row>
    <row r="190" customFormat="false" ht="15" hidden="false" customHeight="false" outlineLevel="0" collapsed="false">
      <c r="A190" s="2" t="s">
        <v>352</v>
      </c>
      <c r="B190" s="2" t="s">
        <v>341</v>
      </c>
      <c r="C190" s="2" t="s">
        <v>45</v>
      </c>
      <c r="D190" s="2" t="s">
        <v>68</v>
      </c>
      <c r="E190" s="2" t="s">
        <v>15</v>
      </c>
      <c r="F190" s="2" t="s">
        <v>7</v>
      </c>
      <c r="G190" s="2" t="s">
        <v>49</v>
      </c>
      <c r="H190" s="11" t="n">
        <v>46302</v>
      </c>
      <c r="I190" s="11" t="n">
        <v>46305</v>
      </c>
      <c r="J190" s="2" t="n">
        <f aca="false">IF(I190="","",I190-H190)</f>
        <v>3</v>
      </c>
    </row>
    <row r="191" customFormat="false" ht="15" hidden="false" customHeight="false" outlineLevel="0" collapsed="false">
      <c r="A191" s="2" t="s">
        <v>353</v>
      </c>
      <c r="B191" s="2" t="s">
        <v>354</v>
      </c>
      <c r="C191" s="2" t="s">
        <v>54</v>
      </c>
      <c r="D191" s="2" t="s">
        <v>48</v>
      </c>
      <c r="E191" s="2" t="s">
        <v>16</v>
      </c>
      <c r="F191" s="2" t="s">
        <v>6</v>
      </c>
      <c r="G191" s="2" t="s">
        <v>49</v>
      </c>
      <c r="H191" s="11" t="n">
        <v>46235</v>
      </c>
      <c r="I191" s="11"/>
      <c r="J191" s="2" t="str">
        <f aca="false">IF(I191="","",I191-H191)</f>
        <v/>
      </c>
    </row>
    <row r="192" customFormat="false" ht="15" hidden="false" customHeight="false" outlineLevel="0" collapsed="false">
      <c r="A192" s="2" t="s">
        <v>355</v>
      </c>
      <c r="B192" s="2" t="s">
        <v>356</v>
      </c>
      <c r="C192" s="2" t="s">
        <v>35</v>
      </c>
      <c r="D192" s="2" t="s">
        <v>36</v>
      </c>
      <c r="E192" s="2" t="s">
        <v>15</v>
      </c>
      <c r="F192" s="2" t="s">
        <v>7</v>
      </c>
      <c r="G192" s="2" t="s">
        <v>55</v>
      </c>
      <c r="H192" s="11" t="n">
        <v>46299</v>
      </c>
      <c r="I192" s="11" t="n">
        <v>46308</v>
      </c>
      <c r="J192" s="2" t="n">
        <f aca="false">IF(I192="","",I192-H192)</f>
        <v>9</v>
      </c>
    </row>
    <row r="193" customFormat="false" ht="15" hidden="false" customHeight="false" outlineLevel="0" collapsed="false">
      <c r="A193" s="2" t="s">
        <v>357</v>
      </c>
      <c r="B193" s="2" t="s">
        <v>358</v>
      </c>
      <c r="C193" s="2" t="s">
        <v>35</v>
      </c>
      <c r="D193" s="2" t="s">
        <v>68</v>
      </c>
      <c r="E193" s="2" t="s">
        <v>16</v>
      </c>
      <c r="F193" s="2" t="s">
        <v>8</v>
      </c>
      <c r="G193" s="2" t="s">
        <v>42</v>
      </c>
      <c r="H193" s="11" t="n">
        <v>46232</v>
      </c>
      <c r="I193" s="11" t="n">
        <v>46242</v>
      </c>
      <c r="J193" s="2" t="n">
        <f aca="false">IF(I193="","",I193-H193)</f>
        <v>10</v>
      </c>
    </row>
    <row r="194" customFormat="false" ht="15" hidden="false" customHeight="false" outlineLevel="0" collapsed="false">
      <c r="A194" s="2" t="s">
        <v>359</v>
      </c>
      <c r="B194" s="2" t="s">
        <v>360</v>
      </c>
      <c r="C194" s="2" t="s">
        <v>58</v>
      </c>
      <c r="D194" s="2" t="s">
        <v>41</v>
      </c>
      <c r="E194" s="2" t="s">
        <v>17</v>
      </c>
      <c r="F194" s="2" t="s">
        <v>7</v>
      </c>
      <c r="G194" s="2" t="s">
        <v>42</v>
      </c>
      <c r="H194" s="11" t="n">
        <v>46277</v>
      </c>
      <c r="I194" s="11" t="n">
        <v>46288</v>
      </c>
      <c r="J194" s="2" t="n">
        <f aca="false">IF(I194="","",I194-H194)</f>
        <v>11</v>
      </c>
    </row>
    <row r="195" customFormat="false" ht="15" hidden="false" customHeight="false" outlineLevel="0" collapsed="false">
      <c r="A195" s="2" t="s">
        <v>361</v>
      </c>
      <c r="B195" s="2" t="s">
        <v>276</v>
      </c>
      <c r="C195" s="2" t="s">
        <v>40</v>
      </c>
      <c r="D195" s="2" t="s">
        <v>68</v>
      </c>
      <c r="E195" s="2" t="s">
        <v>15</v>
      </c>
      <c r="F195" s="2" t="s">
        <v>6</v>
      </c>
      <c r="G195" s="2" t="s">
        <v>49</v>
      </c>
      <c r="H195" s="11" t="n">
        <v>46226</v>
      </c>
      <c r="I195" s="11"/>
      <c r="J195" s="2" t="str">
        <f aca="false">IF(I195="","",I195-H195)</f>
        <v/>
      </c>
    </row>
    <row r="196" customFormat="false" ht="15" hidden="false" customHeight="false" outlineLevel="0" collapsed="false">
      <c r="A196" s="2" t="s">
        <v>362</v>
      </c>
      <c r="B196" s="2" t="s">
        <v>177</v>
      </c>
      <c r="C196" s="2" t="s">
        <v>54</v>
      </c>
      <c r="D196" s="2" t="s">
        <v>68</v>
      </c>
      <c r="E196" s="2" t="s">
        <v>15</v>
      </c>
      <c r="F196" s="2" t="s">
        <v>8</v>
      </c>
      <c r="G196" s="2" t="s">
        <v>37</v>
      </c>
      <c r="H196" s="11" t="n">
        <v>46278</v>
      </c>
      <c r="I196" s="11" t="n">
        <v>46281</v>
      </c>
      <c r="J196" s="2" t="n">
        <f aca="false">IF(I196="","",I196-H196)</f>
        <v>3</v>
      </c>
    </row>
    <row r="197" customFormat="false" ht="15" hidden="false" customHeight="false" outlineLevel="0" collapsed="false">
      <c r="A197" s="2" t="s">
        <v>363</v>
      </c>
      <c r="B197" s="2" t="s">
        <v>364</v>
      </c>
      <c r="C197" s="2" t="s">
        <v>45</v>
      </c>
      <c r="D197" s="2" t="s">
        <v>48</v>
      </c>
      <c r="E197" s="2" t="s">
        <v>16</v>
      </c>
      <c r="F197" s="2" t="s">
        <v>7</v>
      </c>
      <c r="G197" s="2" t="s">
        <v>37</v>
      </c>
      <c r="H197" s="11" t="n">
        <v>46243</v>
      </c>
      <c r="I197" s="11" t="n">
        <v>46255</v>
      </c>
      <c r="J197" s="2" t="n">
        <f aca="false">IF(I197="","",I197-H197)</f>
        <v>12</v>
      </c>
    </row>
    <row r="198" customFormat="false" ht="15" hidden="false" customHeight="false" outlineLevel="0" collapsed="false">
      <c r="A198" s="2" t="s">
        <v>365</v>
      </c>
      <c r="B198" s="2" t="s">
        <v>366</v>
      </c>
      <c r="C198" s="2" t="s">
        <v>35</v>
      </c>
      <c r="D198" s="2" t="s">
        <v>36</v>
      </c>
      <c r="E198" s="2" t="s">
        <v>15</v>
      </c>
      <c r="F198" s="2" t="s">
        <v>8</v>
      </c>
      <c r="G198" s="2" t="s">
        <v>55</v>
      </c>
      <c r="H198" s="11" t="n">
        <v>46314</v>
      </c>
      <c r="I198" s="11" t="n">
        <v>46317</v>
      </c>
      <c r="J198" s="2" t="n">
        <f aca="false">IF(I198="","",I198-H198)</f>
        <v>3</v>
      </c>
    </row>
    <row r="199" customFormat="false" ht="15" hidden="false" customHeight="false" outlineLevel="0" collapsed="false">
      <c r="A199" s="2" t="s">
        <v>367</v>
      </c>
      <c r="B199" s="2" t="s">
        <v>51</v>
      </c>
      <c r="C199" s="2" t="s">
        <v>40</v>
      </c>
      <c r="D199" s="2" t="s">
        <v>41</v>
      </c>
      <c r="E199" s="2" t="s">
        <v>17</v>
      </c>
      <c r="F199" s="2" t="s">
        <v>7</v>
      </c>
      <c r="G199" s="2" t="s">
        <v>42</v>
      </c>
      <c r="H199" s="11" t="n">
        <v>46288</v>
      </c>
      <c r="I199" s="11" t="n">
        <v>46295</v>
      </c>
      <c r="J199" s="2" t="n">
        <f aca="false">IF(I199="","",I199-H199)</f>
        <v>7</v>
      </c>
    </row>
    <row r="200" customFormat="false" ht="15" hidden="false" customHeight="false" outlineLevel="0" collapsed="false">
      <c r="A200" s="2" t="s">
        <v>368</v>
      </c>
      <c r="B200" s="2" t="s">
        <v>39</v>
      </c>
      <c r="C200" s="2" t="s">
        <v>45</v>
      </c>
      <c r="D200" s="2" t="s">
        <v>68</v>
      </c>
      <c r="E200" s="2" t="s">
        <v>16</v>
      </c>
      <c r="F200" s="2" t="s">
        <v>8</v>
      </c>
      <c r="G200" s="2" t="s">
        <v>37</v>
      </c>
      <c r="H200" s="11" t="n">
        <v>46244</v>
      </c>
      <c r="I200" s="11" t="n">
        <v>46251</v>
      </c>
      <c r="J200" s="2" t="n">
        <f aca="false">IF(I200="","",I200-H200)</f>
        <v>7</v>
      </c>
    </row>
    <row r="201" customFormat="false" ht="15" hidden="false" customHeight="false" outlineLevel="0" collapsed="false">
      <c r="A201" s="2" t="s">
        <v>369</v>
      </c>
      <c r="B201" s="2" t="s">
        <v>125</v>
      </c>
      <c r="C201" s="2" t="s">
        <v>45</v>
      </c>
      <c r="D201" s="2" t="s">
        <v>41</v>
      </c>
      <c r="E201" s="2" t="s">
        <v>16</v>
      </c>
      <c r="F201" s="2" t="s">
        <v>7</v>
      </c>
      <c r="G201" s="2" t="s">
        <v>37</v>
      </c>
      <c r="H201" s="11" t="n">
        <v>46289</v>
      </c>
      <c r="I201" s="11" t="n">
        <v>46298</v>
      </c>
      <c r="J201" s="2" t="n">
        <f aca="false">IF(I201="","",I201-H201)</f>
        <v>9</v>
      </c>
    </row>
    <row r="202" customFormat="false" ht="15" hidden="false" customHeight="false" outlineLevel="0" collapsed="false">
      <c r="A202" s="2" t="s">
        <v>370</v>
      </c>
      <c r="B202" s="2" t="s">
        <v>371</v>
      </c>
      <c r="C202" s="2" t="s">
        <v>54</v>
      </c>
      <c r="D202" s="2" t="s">
        <v>41</v>
      </c>
      <c r="E202" s="2" t="s">
        <v>15</v>
      </c>
      <c r="F202" s="2" t="s">
        <v>6</v>
      </c>
      <c r="G202" s="2" t="s">
        <v>42</v>
      </c>
      <c r="H202" s="11" t="n">
        <v>46319</v>
      </c>
      <c r="I202" s="11"/>
      <c r="J202" s="2" t="str">
        <f aca="false">IF(I202="","",I202-H202)</f>
        <v/>
      </c>
    </row>
    <row r="203" customFormat="false" ht="15" hidden="false" customHeight="false" outlineLevel="0" collapsed="false">
      <c r="A203" s="2" t="s">
        <v>372</v>
      </c>
      <c r="B203" s="2" t="s">
        <v>252</v>
      </c>
      <c r="C203" s="2" t="s">
        <v>58</v>
      </c>
      <c r="D203" s="2" t="s">
        <v>68</v>
      </c>
      <c r="E203" s="2" t="s">
        <v>15</v>
      </c>
      <c r="F203" s="2" t="s">
        <v>7</v>
      </c>
      <c r="G203" s="2" t="s">
        <v>49</v>
      </c>
      <c r="H203" s="11" t="n">
        <v>46295</v>
      </c>
      <c r="I203" s="11" t="n">
        <v>46305</v>
      </c>
      <c r="J203" s="2" t="n">
        <f aca="false">IF(I203="","",I203-H203)</f>
        <v>10</v>
      </c>
    </row>
    <row r="204" customFormat="false" ht="15" hidden="false" customHeight="false" outlineLevel="0" collapsed="false">
      <c r="A204" s="2" t="s">
        <v>373</v>
      </c>
      <c r="B204" s="2" t="s">
        <v>374</v>
      </c>
      <c r="C204" s="2" t="s">
        <v>45</v>
      </c>
      <c r="D204" s="2" t="s">
        <v>36</v>
      </c>
      <c r="E204" s="2" t="s">
        <v>16</v>
      </c>
      <c r="F204" s="2" t="s">
        <v>7</v>
      </c>
      <c r="G204" s="2" t="s">
        <v>37</v>
      </c>
      <c r="H204" s="11" t="n">
        <v>46307</v>
      </c>
      <c r="I204" s="11" t="n">
        <v>46310</v>
      </c>
      <c r="J204" s="2" t="n">
        <f aca="false">IF(I204="","",I204-H204)</f>
        <v>3</v>
      </c>
    </row>
    <row r="205" customFormat="false" ht="15" hidden="false" customHeight="false" outlineLevel="0" collapsed="false">
      <c r="A205" s="2" t="s">
        <v>375</v>
      </c>
      <c r="B205" s="2" t="s">
        <v>376</v>
      </c>
      <c r="C205" s="2" t="s">
        <v>45</v>
      </c>
      <c r="D205" s="2" t="s">
        <v>41</v>
      </c>
      <c r="E205" s="2" t="s">
        <v>15</v>
      </c>
      <c r="F205" s="2" t="s">
        <v>7</v>
      </c>
      <c r="G205" s="2" t="s">
        <v>42</v>
      </c>
      <c r="H205" s="11" t="n">
        <v>46301</v>
      </c>
      <c r="I205" s="11" t="n">
        <v>46313</v>
      </c>
      <c r="J205" s="2" t="n">
        <f aca="false">IF(I205="","",I205-H205)</f>
        <v>12</v>
      </c>
    </row>
    <row r="206" customFormat="false" ht="15" hidden="false" customHeight="false" outlineLevel="0" collapsed="false">
      <c r="A206" s="2" t="s">
        <v>377</v>
      </c>
      <c r="B206" s="2" t="s">
        <v>276</v>
      </c>
      <c r="C206" s="2" t="s">
        <v>54</v>
      </c>
      <c r="D206" s="2" t="s">
        <v>48</v>
      </c>
      <c r="E206" s="2" t="s">
        <v>15</v>
      </c>
      <c r="F206" s="2" t="s">
        <v>7</v>
      </c>
      <c r="G206" s="2" t="s">
        <v>42</v>
      </c>
      <c r="H206" s="11" t="n">
        <v>46274</v>
      </c>
      <c r="I206" s="11" t="n">
        <v>46284</v>
      </c>
      <c r="J206" s="2" t="n">
        <f aca="false">IF(I206="","",I206-H206)</f>
        <v>10</v>
      </c>
    </row>
    <row r="207" customFormat="false" ht="15" hidden="false" customHeight="false" outlineLevel="0" collapsed="false">
      <c r="A207" s="2" t="s">
        <v>378</v>
      </c>
      <c r="B207" s="2" t="s">
        <v>360</v>
      </c>
      <c r="C207" s="2" t="s">
        <v>35</v>
      </c>
      <c r="D207" s="2" t="s">
        <v>41</v>
      </c>
      <c r="E207" s="2" t="s">
        <v>16</v>
      </c>
      <c r="F207" s="2" t="s">
        <v>8</v>
      </c>
      <c r="G207" s="2" t="s">
        <v>55</v>
      </c>
      <c r="H207" s="11" t="n">
        <v>46225</v>
      </c>
      <c r="I207" s="11" t="n">
        <v>46234</v>
      </c>
      <c r="J207" s="2" t="n">
        <f aca="false">IF(I207="","",I207-H207)</f>
        <v>9</v>
      </c>
    </row>
    <row r="208" customFormat="false" ht="15" hidden="false" customHeight="false" outlineLevel="0" collapsed="false">
      <c r="A208" s="2" t="s">
        <v>379</v>
      </c>
      <c r="B208" s="2" t="s">
        <v>149</v>
      </c>
      <c r="C208" s="2" t="s">
        <v>58</v>
      </c>
      <c r="D208" s="2" t="s">
        <v>68</v>
      </c>
      <c r="E208" s="2" t="s">
        <v>16</v>
      </c>
      <c r="F208" s="2" t="s">
        <v>7</v>
      </c>
      <c r="G208" s="2" t="s">
        <v>55</v>
      </c>
      <c r="H208" s="11" t="n">
        <v>46246</v>
      </c>
      <c r="I208" s="11" t="n">
        <v>46257</v>
      </c>
      <c r="J208" s="2" t="n">
        <f aca="false">IF(I208="","",I208-H208)</f>
        <v>11</v>
      </c>
    </row>
    <row r="209" customFormat="false" ht="15" hidden="false" customHeight="false" outlineLevel="0" collapsed="false">
      <c r="A209" s="2" t="s">
        <v>380</v>
      </c>
      <c r="B209" s="2" t="s">
        <v>86</v>
      </c>
      <c r="C209" s="2" t="s">
        <v>54</v>
      </c>
      <c r="D209" s="2" t="s">
        <v>48</v>
      </c>
      <c r="E209" s="2" t="s">
        <v>15</v>
      </c>
      <c r="F209" s="2" t="s">
        <v>7</v>
      </c>
      <c r="G209" s="2" t="s">
        <v>37</v>
      </c>
      <c r="H209" s="11" t="n">
        <v>46290</v>
      </c>
      <c r="I209" s="11" t="n">
        <v>46294</v>
      </c>
      <c r="J209" s="2" t="n">
        <f aca="false">IF(I209="","",I209-H209)</f>
        <v>4</v>
      </c>
    </row>
    <row r="210" customFormat="false" ht="15" hidden="false" customHeight="false" outlineLevel="0" collapsed="false">
      <c r="A210" s="2" t="s">
        <v>381</v>
      </c>
      <c r="B210" s="2" t="s">
        <v>60</v>
      </c>
      <c r="C210" s="2" t="s">
        <v>45</v>
      </c>
      <c r="D210" s="2" t="s">
        <v>48</v>
      </c>
      <c r="E210" s="2" t="s">
        <v>17</v>
      </c>
      <c r="F210" s="2" t="s">
        <v>6</v>
      </c>
      <c r="G210" s="2" t="s">
        <v>37</v>
      </c>
      <c r="H210" s="11" t="n">
        <v>46313</v>
      </c>
      <c r="I210" s="11"/>
      <c r="J210" s="2" t="str">
        <f aca="false">IF(I210="","",I210-H210)</f>
        <v/>
      </c>
    </row>
    <row r="211" customFormat="false" ht="15" hidden="false" customHeight="false" outlineLevel="0" collapsed="false">
      <c r="A211" s="2" t="s">
        <v>382</v>
      </c>
      <c r="B211" s="2" t="s">
        <v>84</v>
      </c>
      <c r="C211" s="2" t="s">
        <v>45</v>
      </c>
      <c r="D211" s="2" t="s">
        <v>68</v>
      </c>
      <c r="E211" s="2" t="s">
        <v>15</v>
      </c>
      <c r="F211" s="2" t="s">
        <v>6</v>
      </c>
      <c r="G211" s="2" t="s">
        <v>37</v>
      </c>
      <c r="H211" s="11" t="n">
        <v>46319</v>
      </c>
      <c r="I211" s="11"/>
      <c r="J211" s="2" t="str">
        <f aca="false">IF(I211="","",I211-H211)</f>
        <v/>
      </c>
    </row>
    <row r="212" customFormat="false" ht="15" hidden="false" customHeight="false" outlineLevel="0" collapsed="false">
      <c r="A212" s="2" t="s">
        <v>383</v>
      </c>
      <c r="B212" s="2" t="s">
        <v>284</v>
      </c>
      <c r="C212" s="2" t="s">
        <v>35</v>
      </c>
      <c r="D212" s="2" t="s">
        <v>36</v>
      </c>
      <c r="E212" s="2" t="s">
        <v>15</v>
      </c>
      <c r="F212" s="2" t="s">
        <v>7</v>
      </c>
      <c r="G212" s="2" t="s">
        <v>49</v>
      </c>
      <c r="H212" s="11" t="n">
        <v>46238</v>
      </c>
      <c r="I212" s="11" t="n">
        <v>46244</v>
      </c>
      <c r="J212" s="2" t="n">
        <f aca="false">IF(I212="","",I212-H212)</f>
        <v>6</v>
      </c>
    </row>
    <row r="213" customFormat="false" ht="15" hidden="false" customHeight="false" outlineLevel="0" collapsed="false">
      <c r="A213" s="2" t="s">
        <v>384</v>
      </c>
      <c r="B213" s="2" t="s">
        <v>94</v>
      </c>
      <c r="C213" s="2" t="s">
        <v>35</v>
      </c>
      <c r="D213" s="2" t="s">
        <v>41</v>
      </c>
      <c r="E213" s="2" t="s">
        <v>15</v>
      </c>
      <c r="F213" s="2" t="s">
        <v>7</v>
      </c>
      <c r="G213" s="2" t="s">
        <v>37</v>
      </c>
      <c r="H213" s="11" t="n">
        <v>46265</v>
      </c>
      <c r="I213" s="11" t="n">
        <v>46271</v>
      </c>
      <c r="J213" s="2" t="n">
        <f aca="false">IF(I213="","",I213-H213)</f>
        <v>6</v>
      </c>
    </row>
    <row r="214" customFormat="false" ht="15" hidden="false" customHeight="false" outlineLevel="0" collapsed="false">
      <c r="A214" s="2" t="s">
        <v>385</v>
      </c>
      <c r="B214" s="2" t="s">
        <v>386</v>
      </c>
      <c r="C214" s="2" t="s">
        <v>45</v>
      </c>
      <c r="D214" s="2" t="s">
        <v>68</v>
      </c>
      <c r="E214" s="2" t="s">
        <v>15</v>
      </c>
      <c r="F214" s="2" t="s">
        <v>8</v>
      </c>
      <c r="G214" s="2" t="s">
        <v>49</v>
      </c>
      <c r="H214" s="11" t="n">
        <v>46261</v>
      </c>
      <c r="I214" s="11" t="n">
        <v>46273</v>
      </c>
      <c r="J214" s="2" t="n">
        <f aca="false">IF(I214="","",I214-H214)</f>
        <v>12</v>
      </c>
    </row>
    <row r="215" customFormat="false" ht="15" hidden="false" customHeight="false" outlineLevel="0" collapsed="false">
      <c r="A215" s="2" t="s">
        <v>387</v>
      </c>
      <c r="B215" s="2" t="s">
        <v>141</v>
      </c>
      <c r="C215" s="2" t="s">
        <v>45</v>
      </c>
      <c r="D215" s="2" t="s">
        <v>68</v>
      </c>
      <c r="E215" s="2" t="s">
        <v>15</v>
      </c>
      <c r="F215" s="2" t="s">
        <v>7</v>
      </c>
      <c r="G215" s="2" t="s">
        <v>55</v>
      </c>
      <c r="H215" s="11" t="n">
        <v>46212</v>
      </c>
      <c r="I215" s="11" t="n">
        <v>46223</v>
      </c>
      <c r="J215" s="2" t="n">
        <f aca="false">IF(I215="","",I215-H215)</f>
        <v>11</v>
      </c>
    </row>
    <row r="216" customFormat="false" ht="15" hidden="false" customHeight="false" outlineLevel="0" collapsed="false">
      <c r="A216" s="2" t="s">
        <v>388</v>
      </c>
      <c r="B216" s="2" t="s">
        <v>190</v>
      </c>
      <c r="C216" s="2" t="s">
        <v>58</v>
      </c>
      <c r="D216" s="2" t="s">
        <v>41</v>
      </c>
      <c r="E216" s="2" t="s">
        <v>15</v>
      </c>
      <c r="F216" s="2" t="s">
        <v>7</v>
      </c>
      <c r="G216" s="2" t="s">
        <v>37</v>
      </c>
      <c r="H216" s="11" t="n">
        <v>46293</v>
      </c>
      <c r="I216" s="11" t="n">
        <v>46300</v>
      </c>
      <c r="J216" s="2" t="n">
        <f aca="false">IF(I216="","",I216-H216)</f>
        <v>7</v>
      </c>
    </row>
    <row r="217" customFormat="false" ht="15" hidden="false" customHeight="false" outlineLevel="0" collapsed="false">
      <c r="A217" s="2" t="s">
        <v>389</v>
      </c>
      <c r="B217" s="2" t="s">
        <v>190</v>
      </c>
      <c r="C217" s="2" t="s">
        <v>54</v>
      </c>
      <c r="D217" s="2" t="s">
        <v>36</v>
      </c>
      <c r="E217" s="2" t="s">
        <v>15</v>
      </c>
      <c r="F217" s="2" t="s">
        <v>7</v>
      </c>
      <c r="G217" s="2" t="s">
        <v>42</v>
      </c>
      <c r="H217" s="11" t="n">
        <v>46310</v>
      </c>
      <c r="I217" s="11" t="n">
        <v>46322</v>
      </c>
      <c r="J217" s="2" t="n">
        <f aca="false">IF(I217="","",I217-H217)</f>
        <v>12</v>
      </c>
    </row>
    <row r="218" customFormat="false" ht="15" hidden="false" customHeight="false" outlineLevel="0" collapsed="false">
      <c r="A218" s="2" t="s">
        <v>390</v>
      </c>
      <c r="B218" s="2" t="s">
        <v>119</v>
      </c>
      <c r="C218" s="2" t="s">
        <v>58</v>
      </c>
      <c r="D218" s="2" t="s">
        <v>68</v>
      </c>
      <c r="E218" s="2" t="s">
        <v>16</v>
      </c>
      <c r="F218" s="2" t="s">
        <v>6</v>
      </c>
      <c r="G218" s="2" t="s">
        <v>37</v>
      </c>
      <c r="H218" s="11" t="n">
        <v>46302</v>
      </c>
      <c r="I218" s="11"/>
      <c r="J218" s="2" t="str">
        <f aca="false">IF(I218="","",I218-H218)</f>
        <v/>
      </c>
    </row>
    <row r="219" customFormat="false" ht="15" hidden="false" customHeight="false" outlineLevel="0" collapsed="false">
      <c r="A219" s="2" t="s">
        <v>391</v>
      </c>
      <c r="B219" s="2" t="s">
        <v>392</v>
      </c>
      <c r="C219" s="2" t="s">
        <v>54</v>
      </c>
      <c r="D219" s="2" t="s">
        <v>68</v>
      </c>
      <c r="E219" s="2" t="s">
        <v>16</v>
      </c>
      <c r="F219" s="2" t="s">
        <v>7</v>
      </c>
      <c r="G219" s="2" t="s">
        <v>55</v>
      </c>
      <c r="H219" s="11" t="n">
        <v>46282</v>
      </c>
      <c r="I219" s="11" t="n">
        <v>46283</v>
      </c>
      <c r="J219" s="2" t="n">
        <f aca="false">IF(I219="","",I219-H219)</f>
        <v>1</v>
      </c>
    </row>
    <row r="220" customFormat="false" ht="15" hidden="false" customHeight="false" outlineLevel="0" collapsed="false">
      <c r="A220" s="2" t="s">
        <v>393</v>
      </c>
      <c r="B220" s="2" t="s">
        <v>305</v>
      </c>
      <c r="C220" s="2" t="s">
        <v>40</v>
      </c>
      <c r="D220" s="2" t="s">
        <v>48</v>
      </c>
      <c r="E220" s="2" t="s">
        <v>16</v>
      </c>
      <c r="F220" s="2" t="s">
        <v>7</v>
      </c>
      <c r="G220" s="2" t="s">
        <v>37</v>
      </c>
      <c r="H220" s="11" t="n">
        <v>46284</v>
      </c>
      <c r="I220" s="11" t="n">
        <v>46289</v>
      </c>
      <c r="J220" s="2" t="n">
        <f aca="false">IF(I220="","",I220-H220)</f>
        <v>5</v>
      </c>
    </row>
    <row r="221" customFormat="false" ht="15" hidden="false" customHeight="false" outlineLevel="0" collapsed="false">
      <c r="A221" s="2" t="s">
        <v>394</v>
      </c>
      <c r="B221" s="2" t="s">
        <v>360</v>
      </c>
      <c r="C221" s="2" t="s">
        <v>58</v>
      </c>
      <c r="D221" s="2" t="s">
        <v>41</v>
      </c>
      <c r="E221" s="2" t="s">
        <v>15</v>
      </c>
      <c r="F221" s="2" t="s">
        <v>7</v>
      </c>
      <c r="G221" s="2" t="s">
        <v>42</v>
      </c>
      <c r="H221" s="11" t="n">
        <v>46220</v>
      </c>
      <c r="I221" s="11" t="n">
        <v>46227</v>
      </c>
      <c r="J221" s="2" t="n">
        <f aca="false">IF(I221="","",I221-H221)</f>
        <v>7</v>
      </c>
    </row>
    <row r="222" customFormat="false" ht="15" hidden="false" customHeight="false" outlineLevel="0" collapsed="false">
      <c r="A222" s="2" t="s">
        <v>395</v>
      </c>
      <c r="B222" s="2" t="s">
        <v>250</v>
      </c>
      <c r="C222" s="2" t="s">
        <v>54</v>
      </c>
      <c r="D222" s="2" t="s">
        <v>41</v>
      </c>
      <c r="E222" s="2" t="s">
        <v>15</v>
      </c>
      <c r="F222" s="2" t="s">
        <v>7</v>
      </c>
      <c r="G222" s="2" t="s">
        <v>49</v>
      </c>
      <c r="H222" s="11" t="n">
        <v>46280</v>
      </c>
      <c r="I222" s="11" t="n">
        <v>46287</v>
      </c>
      <c r="J222" s="2" t="n">
        <f aca="false">IF(I222="","",I222-H222)</f>
        <v>7</v>
      </c>
    </row>
    <row r="223" customFormat="false" ht="15" hidden="false" customHeight="false" outlineLevel="0" collapsed="false">
      <c r="A223" s="2" t="s">
        <v>396</v>
      </c>
      <c r="B223" s="2" t="s">
        <v>34</v>
      </c>
      <c r="C223" s="2" t="s">
        <v>54</v>
      </c>
      <c r="D223" s="2" t="s">
        <v>68</v>
      </c>
      <c r="E223" s="2" t="s">
        <v>15</v>
      </c>
      <c r="F223" s="2" t="s">
        <v>7</v>
      </c>
      <c r="G223" s="2" t="s">
        <v>37</v>
      </c>
      <c r="H223" s="11" t="n">
        <v>46316</v>
      </c>
      <c r="I223" s="11" t="n">
        <v>46319</v>
      </c>
      <c r="J223" s="2" t="n">
        <f aca="false">IF(I223="","",I223-H223)</f>
        <v>3</v>
      </c>
    </row>
    <row r="224" customFormat="false" ht="15" hidden="false" customHeight="false" outlineLevel="0" collapsed="false">
      <c r="A224" s="2" t="s">
        <v>397</v>
      </c>
      <c r="B224" s="2" t="s">
        <v>398</v>
      </c>
      <c r="C224" s="2" t="s">
        <v>58</v>
      </c>
      <c r="D224" s="2" t="s">
        <v>68</v>
      </c>
      <c r="E224" s="2" t="s">
        <v>15</v>
      </c>
      <c r="F224" s="2" t="s">
        <v>7</v>
      </c>
      <c r="G224" s="2" t="s">
        <v>49</v>
      </c>
      <c r="H224" s="11" t="n">
        <v>46289</v>
      </c>
      <c r="I224" s="11" t="n">
        <v>46299</v>
      </c>
      <c r="J224" s="2" t="n">
        <f aca="false">IF(I224="","",I224-H224)</f>
        <v>10</v>
      </c>
    </row>
    <row r="225" customFormat="false" ht="15" hidden="false" customHeight="false" outlineLevel="0" collapsed="false">
      <c r="A225" s="2" t="s">
        <v>399</v>
      </c>
      <c r="B225" s="2" t="s">
        <v>70</v>
      </c>
      <c r="C225" s="2" t="s">
        <v>35</v>
      </c>
      <c r="D225" s="2" t="s">
        <v>41</v>
      </c>
      <c r="E225" s="2" t="s">
        <v>15</v>
      </c>
      <c r="F225" s="2" t="s">
        <v>7</v>
      </c>
      <c r="G225" s="2" t="s">
        <v>55</v>
      </c>
      <c r="H225" s="11" t="n">
        <v>46311</v>
      </c>
      <c r="I225" s="11" t="n">
        <v>46316</v>
      </c>
      <c r="J225" s="2" t="n">
        <f aca="false">IF(I225="","",I225-H225)</f>
        <v>5</v>
      </c>
    </row>
    <row r="226" customFormat="false" ht="15" hidden="false" customHeight="false" outlineLevel="0" collapsed="false">
      <c r="A226" s="2" t="s">
        <v>400</v>
      </c>
      <c r="B226" s="2" t="s">
        <v>206</v>
      </c>
      <c r="C226" s="2" t="s">
        <v>40</v>
      </c>
      <c r="D226" s="2" t="s">
        <v>41</v>
      </c>
      <c r="E226" s="2" t="s">
        <v>16</v>
      </c>
      <c r="F226" s="2" t="s">
        <v>8</v>
      </c>
      <c r="G226" s="2" t="s">
        <v>55</v>
      </c>
      <c r="H226" s="11" t="n">
        <v>46256</v>
      </c>
      <c r="I226" s="11" t="n">
        <v>46265</v>
      </c>
      <c r="J226" s="2" t="n">
        <f aca="false">IF(I226="","",I226-H226)</f>
        <v>9</v>
      </c>
    </row>
    <row r="227" customFormat="false" ht="15" hidden="false" customHeight="false" outlineLevel="0" collapsed="false">
      <c r="A227" s="2" t="s">
        <v>401</v>
      </c>
      <c r="B227" s="2" t="s">
        <v>161</v>
      </c>
      <c r="C227" s="2" t="s">
        <v>54</v>
      </c>
      <c r="D227" s="2" t="s">
        <v>48</v>
      </c>
      <c r="E227" s="2" t="s">
        <v>15</v>
      </c>
      <c r="F227" s="2" t="s">
        <v>7</v>
      </c>
      <c r="G227" s="2" t="s">
        <v>42</v>
      </c>
      <c r="H227" s="11" t="n">
        <v>46270</v>
      </c>
      <c r="I227" s="11" t="n">
        <v>46275</v>
      </c>
      <c r="J227" s="2" t="n">
        <f aca="false">IF(I227="","",I227-H227)</f>
        <v>5</v>
      </c>
    </row>
    <row r="228" customFormat="false" ht="15" hidden="false" customHeight="false" outlineLevel="0" collapsed="false">
      <c r="A228" s="2" t="s">
        <v>402</v>
      </c>
      <c r="B228" s="2" t="s">
        <v>228</v>
      </c>
      <c r="C228" s="2" t="s">
        <v>58</v>
      </c>
      <c r="D228" s="2" t="s">
        <v>68</v>
      </c>
      <c r="E228" s="2" t="s">
        <v>15</v>
      </c>
      <c r="F228" s="2" t="s">
        <v>7</v>
      </c>
      <c r="G228" s="2" t="s">
        <v>49</v>
      </c>
      <c r="H228" s="11" t="n">
        <v>46277</v>
      </c>
      <c r="I228" s="11" t="n">
        <v>46279</v>
      </c>
      <c r="J228" s="2" t="n">
        <f aca="false">IF(I228="","",I228-H228)</f>
        <v>2</v>
      </c>
    </row>
    <row r="229" customFormat="false" ht="15" hidden="false" customHeight="false" outlineLevel="0" collapsed="false">
      <c r="A229" s="2" t="s">
        <v>403</v>
      </c>
      <c r="B229" s="2" t="s">
        <v>392</v>
      </c>
      <c r="C229" s="2" t="s">
        <v>54</v>
      </c>
      <c r="D229" s="2" t="s">
        <v>36</v>
      </c>
      <c r="E229" s="2" t="s">
        <v>16</v>
      </c>
      <c r="F229" s="2" t="s">
        <v>7</v>
      </c>
      <c r="G229" s="2" t="s">
        <v>42</v>
      </c>
      <c r="H229" s="11" t="n">
        <v>46263</v>
      </c>
      <c r="I229" s="11" t="n">
        <v>46272</v>
      </c>
      <c r="J229" s="2" t="n">
        <f aca="false">IF(I229="","",I229-H229)</f>
        <v>9</v>
      </c>
    </row>
    <row r="230" customFormat="false" ht="15" hidden="false" customHeight="false" outlineLevel="0" collapsed="false">
      <c r="A230" s="2" t="s">
        <v>404</v>
      </c>
      <c r="B230" s="2" t="s">
        <v>154</v>
      </c>
      <c r="C230" s="2" t="s">
        <v>35</v>
      </c>
      <c r="D230" s="2" t="s">
        <v>68</v>
      </c>
      <c r="E230" s="2" t="s">
        <v>15</v>
      </c>
      <c r="F230" s="2" t="s">
        <v>7</v>
      </c>
      <c r="G230" s="2" t="s">
        <v>49</v>
      </c>
      <c r="H230" s="11" t="n">
        <v>46255</v>
      </c>
      <c r="I230" s="11" t="n">
        <v>46260</v>
      </c>
      <c r="J230" s="2" t="n">
        <f aca="false">IF(I230="","",I230-H230)</f>
        <v>5</v>
      </c>
    </row>
    <row r="231" customFormat="false" ht="15" hidden="false" customHeight="false" outlineLevel="0" collapsed="false">
      <c r="A231" s="2" t="s">
        <v>405</v>
      </c>
      <c r="B231" s="2" t="s">
        <v>406</v>
      </c>
      <c r="C231" s="2" t="s">
        <v>35</v>
      </c>
      <c r="D231" s="2" t="s">
        <v>36</v>
      </c>
      <c r="E231" s="2" t="s">
        <v>16</v>
      </c>
      <c r="F231" s="2" t="s">
        <v>7</v>
      </c>
      <c r="G231" s="2" t="s">
        <v>42</v>
      </c>
      <c r="H231" s="11" t="n">
        <v>46278</v>
      </c>
      <c r="I231" s="11" t="n">
        <v>46283</v>
      </c>
      <c r="J231" s="2" t="n">
        <f aca="false">IF(I231="","",I231-H231)</f>
        <v>5</v>
      </c>
    </row>
    <row r="232" customFormat="false" ht="15" hidden="false" customHeight="false" outlineLevel="0" collapsed="false">
      <c r="A232" s="2" t="s">
        <v>407</v>
      </c>
      <c r="B232" s="2" t="s">
        <v>170</v>
      </c>
      <c r="C232" s="2" t="s">
        <v>40</v>
      </c>
      <c r="D232" s="2" t="s">
        <v>48</v>
      </c>
      <c r="E232" s="2" t="s">
        <v>16</v>
      </c>
      <c r="F232" s="2" t="s">
        <v>6</v>
      </c>
      <c r="G232" s="2" t="s">
        <v>42</v>
      </c>
      <c r="H232" s="11" t="n">
        <v>46257</v>
      </c>
      <c r="I232" s="11"/>
      <c r="J232" s="2" t="str">
        <f aca="false">IF(I232="","",I232-H232)</f>
        <v/>
      </c>
    </row>
    <row r="233" customFormat="false" ht="15" hidden="false" customHeight="false" outlineLevel="0" collapsed="false">
      <c r="A233" s="2" t="s">
        <v>408</v>
      </c>
      <c r="B233" s="2" t="s">
        <v>371</v>
      </c>
      <c r="C233" s="2" t="s">
        <v>35</v>
      </c>
      <c r="D233" s="2" t="s">
        <v>68</v>
      </c>
      <c r="E233" s="2" t="s">
        <v>15</v>
      </c>
      <c r="F233" s="2" t="s">
        <v>7</v>
      </c>
      <c r="G233" s="2" t="s">
        <v>55</v>
      </c>
      <c r="H233" s="11" t="n">
        <v>46294</v>
      </c>
      <c r="I233" s="11" t="n">
        <v>46301</v>
      </c>
      <c r="J233" s="2" t="n">
        <f aca="false">IF(I233="","",I233-H233)</f>
        <v>7</v>
      </c>
    </row>
    <row r="234" customFormat="false" ht="15" hidden="false" customHeight="false" outlineLevel="0" collapsed="false">
      <c r="A234" s="2" t="s">
        <v>409</v>
      </c>
      <c r="B234" s="2" t="s">
        <v>110</v>
      </c>
      <c r="C234" s="2" t="s">
        <v>58</v>
      </c>
      <c r="D234" s="2" t="s">
        <v>68</v>
      </c>
      <c r="E234" s="2" t="s">
        <v>15</v>
      </c>
      <c r="F234" s="2" t="s">
        <v>7</v>
      </c>
      <c r="G234" s="2" t="s">
        <v>55</v>
      </c>
      <c r="H234" s="11" t="n">
        <v>46256</v>
      </c>
      <c r="I234" s="11" t="n">
        <v>46265</v>
      </c>
      <c r="J234" s="2" t="n">
        <f aca="false">IF(I234="","",I234-H234)</f>
        <v>9</v>
      </c>
    </row>
    <row r="235" customFormat="false" ht="15" hidden="false" customHeight="false" outlineLevel="0" collapsed="false">
      <c r="A235" s="2" t="s">
        <v>410</v>
      </c>
      <c r="B235" s="2" t="s">
        <v>411</v>
      </c>
      <c r="C235" s="2" t="s">
        <v>45</v>
      </c>
      <c r="D235" s="2" t="s">
        <v>36</v>
      </c>
      <c r="E235" s="2" t="s">
        <v>15</v>
      </c>
      <c r="F235" s="2" t="s">
        <v>7</v>
      </c>
      <c r="G235" s="2" t="s">
        <v>42</v>
      </c>
      <c r="H235" s="11" t="n">
        <v>46238</v>
      </c>
      <c r="I235" s="11" t="n">
        <v>46245</v>
      </c>
      <c r="J235" s="2" t="n">
        <f aca="false">IF(I235="","",I235-H235)</f>
        <v>7</v>
      </c>
    </row>
    <row r="236" customFormat="false" ht="15" hidden="false" customHeight="false" outlineLevel="0" collapsed="false">
      <c r="A236" s="2" t="s">
        <v>412</v>
      </c>
      <c r="B236" s="2" t="s">
        <v>263</v>
      </c>
      <c r="C236" s="2" t="s">
        <v>58</v>
      </c>
      <c r="D236" s="2" t="s">
        <v>41</v>
      </c>
      <c r="E236" s="2" t="s">
        <v>17</v>
      </c>
      <c r="F236" s="2" t="s">
        <v>7</v>
      </c>
      <c r="G236" s="2" t="s">
        <v>42</v>
      </c>
      <c r="H236" s="11" t="n">
        <v>46207</v>
      </c>
      <c r="I236" s="11" t="n">
        <v>46218</v>
      </c>
      <c r="J236" s="2" t="n">
        <f aca="false">IF(I236="","",I236-H236)</f>
        <v>11</v>
      </c>
    </row>
    <row r="237" customFormat="false" ht="15" hidden="false" customHeight="false" outlineLevel="0" collapsed="false">
      <c r="A237" s="2" t="s">
        <v>413</v>
      </c>
      <c r="B237" s="2" t="s">
        <v>307</v>
      </c>
      <c r="C237" s="2" t="s">
        <v>40</v>
      </c>
      <c r="D237" s="2" t="s">
        <v>36</v>
      </c>
      <c r="E237" s="2" t="s">
        <v>15</v>
      </c>
      <c r="F237" s="2" t="s">
        <v>7</v>
      </c>
      <c r="G237" s="2" t="s">
        <v>37</v>
      </c>
      <c r="H237" s="11" t="n">
        <v>46301</v>
      </c>
      <c r="I237" s="11" t="n">
        <v>46308</v>
      </c>
      <c r="J237" s="2" t="n">
        <f aca="false">IF(I237="","",I237-H237)</f>
        <v>7</v>
      </c>
    </row>
    <row r="238" customFormat="false" ht="15" hidden="false" customHeight="false" outlineLevel="0" collapsed="false">
      <c r="A238" s="2" t="s">
        <v>414</v>
      </c>
      <c r="B238" s="2" t="s">
        <v>376</v>
      </c>
      <c r="C238" s="2" t="s">
        <v>40</v>
      </c>
      <c r="D238" s="2" t="s">
        <v>41</v>
      </c>
      <c r="E238" s="2" t="s">
        <v>15</v>
      </c>
      <c r="F238" s="2" t="s">
        <v>7</v>
      </c>
      <c r="G238" s="2" t="s">
        <v>49</v>
      </c>
      <c r="H238" s="11" t="n">
        <v>46204</v>
      </c>
      <c r="I238" s="11" t="n">
        <v>46215</v>
      </c>
      <c r="J238" s="2" t="n">
        <f aca="false">IF(I238="","",I238-H238)</f>
        <v>11</v>
      </c>
    </row>
    <row r="239" customFormat="false" ht="15" hidden="false" customHeight="false" outlineLevel="0" collapsed="false">
      <c r="A239" s="2" t="s">
        <v>415</v>
      </c>
      <c r="B239" s="2" t="s">
        <v>163</v>
      </c>
      <c r="C239" s="2" t="s">
        <v>45</v>
      </c>
      <c r="D239" s="2" t="s">
        <v>41</v>
      </c>
      <c r="E239" s="2" t="s">
        <v>15</v>
      </c>
      <c r="F239" s="2" t="s">
        <v>6</v>
      </c>
      <c r="G239" s="2" t="s">
        <v>42</v>
      </c>
      <c r="H239" s="11" t="n">
        <v>46322</v>
      </c>
      <c r="I239" s="11"/>
      <c r="J239" s="2" t="str">
        <f aca="false">IF(I239="","",I239-H239)</f>
        <v/>
      </c>
    </row>
    <row r="240" customFormat="false" ht="15" hidden="false" customHeight="false" outlineLevel="0" collapsed="false">
      <c r="A240" s="2" t="s">
        <v>416</v>
      </c>
      <c r="B240" s="2" t="s">
        <v>114</v>
      </c>
      <c r="C240" s="2" t="s">
        <v>45</v>
      </c>
      <c r="D240" s="2" t="s">
        <v>48</v>
      </c>
      <c r="E240" s="2" t="s">
        <v>15</v>
      </c>
      <c r="F240" s="2" t="s">
        <v>7</v>
      </c>
      <c r="G240" s="2" t="s">
        <v>49</v>
      </c>
      <c r="H240" s="11" t="n">
        <v>46206</v>
      </c>
      <c r="I240" s="11" t="n">
        <v>46217</v>
      </c>
      <c r="J240" s="2" t="n">
        <f aca="false">IF(I240="","",I240-H240)</f>
        <v>11</v>
      </c>
    </row>
    <row r="241" customFormat="false" ht="15" hidden="false" customHeight="false" outlineLevel="0" collapsed="false">
      <c r="A241" s="2" t="s">
        <v>417</v>
      </c>
      <c r="B241" s="2" t="s">
        <v>418</v>
      </c>
      <c r="C241" s="2" t="s">
        <v>54</v>
      </c>
      <c r="D241" s="2" t="s">
        <v>36</v>
      </c>
      <c r="E241" s="2" t="s">
        <v>16</v>
      </c>
      <c r="F241" s="2" t="s">
        <v>7</v>
      </c>
      <c r="G241" s="2" t="s">
        <v>49</v>
      </c>
      <c r="H241" s="11" t="n">
        <v>46259</v>
      </c>
      <c r="I241" s="11" t="n">
        <v>46260</v>
      </c>
      <c r="J241" s="2" t="n">
        <f aca="false">IF(I241="","",I241-H241)</f>
        <v>1</v>
      </c>
    </row>
    <row r="242" customFormat="false" ht="15" hidden="false" customHeight="false" outlineLevel="0" collapsed="false">
      <c r="A242" s="2" t="s">
        <v>419</v>
      </c>
      <c r="B242" s="2" t="s">
        <v>121</v>
      </c>
      <c r="C242" s="2" t="s">
        <v>35</v>
      </c>
      <c r="D242" s="2" t="s">
        <v>68</v>
      </c>
      <c r="E242" s="2" t="s">
        <v>15</v>
      </c>
      <c r="F242" s="2" t="s">
        <v>7</v>
      </c>
      <c r="G242" s="2" t="s">
        <v>49</v>
      </c>
      <c r="H242" s="11" t="n">
        <v>46209</v>
      </c>
      <c r="I242" s="11" t="n">
        <v>46220</v>
      </c>
      <c r="J242" s="2" t="n">
        <f aca="false">IF(I242="","",I242-H242)</f>
        <v>11</v>
      </c>
    </row>
    <row r="243" customFormat="false" ht="15" hidden="false" customHeight="false" outlineLevel="0" collapsed="false">
      <c r="A243" s="2" t="s">
        <v>420</v>
      </c>
      <c r="B243" s="2" t="s">
        <v>364</v>
      </c>
      <c r="C243" s="2" t="s">
        <v>40</v>
      </c>
      <c r="D243" s="2" t="s">
        <v>68</v>
      </c>
      <c r="E243" s="2" t="s">
        <v>15</v>
      </c>
      <c r="F243" s="2" t="s">
        <v>6</v>
      </c>
      <c r="G243" s="2" t="s">
        <v>49</v>
      </c>
      <c r="H243" s="11" t="n">
        <v>46219</v>
      </c>
      <c r="I243" s="11"/>
      <c r="J243" s="2" t="str">
        <f aca="false">IF(I243="","",I243-H243)</f>
        <v/>
      </c>
    </row>
    <row r="244" customFormat="false" ht="15" hidden="false" customHeight="false" outlineLevel="0" collapsed="false">
      <c r="A244" s="2" t="s">
        <v>421</v>
      </c>
      <c r="B244" s="2" t="s">
        <v>287</v>
      </c>
      <c r="C244" s="2" t="s">
        <v>35</v>
      </c>
      <c r="D244" s="2" t="s">
        <v>36</v>
      </c>
      <c r="E244" s="2" t="s">
        <v>16</v>
      </c>
      <c r="F244" s="2" t="s">
        <v>7</v>
      </c>
      <c r="G244" s="2" t="s">
        <v>49</v>
      </c>
      <c r="H244" s="11" t="n">
        <v>46300</v>
      </c>
      <c r="I244" s="11" t="n">
        <v>46306</v>
      </c>
      <c r="J244" s="2" t="n">
        <f aca="false">IF(I244="","",I244-H244)</f>
        <v>6</v>
      </c>
    </row>
    <row r="245" customFormat="false" ht="15" hidden="false" customHeight="false" outlineLevel="0" collapsed="false">
      <c r="A245" s="2" t="s">
        <v>422</v>
      </c>
      <c r="B245" s="2" t="s">
        <v>423</v>
      </c>
      <c r="C245" s="2" t="s">
        <v>58</v>
      </c>
      <c r="D245" s="2" t="s">
        <v>36</v>
      </c>
      <c r="E245" s="2" t="s">
        <v>16</v>
      </c>
      <c r="F245" s="2" t="s">
        <v>7</v>
      </c>
      <c r="G245" s="2" t="s">
        <v>55</v>
      </c>
      <c r="H245" s="11" t="n">
        <v>46244</v>
      </c>
      <c r="I245" s="11" t="n">
        <v>46254</v>
      </c>
      <c r="J245" s="2" t="n">
        <f aca="false">IF(I245="","",I245-H245)</f>
        <v>10</v>
      </c>
    </row>
    <row r="246" customFormat="false" ht="15" hidden="false" customHeight="false" outlineLevel="0" collapsed="false">
      <c r="A246" s="2" t="s">
        <v>424</v>
      </c>
      <c r="B246" s="2" t="s">
        <v>209</v>
      </c>
      <c r="C246" s="2" t="s">
        <v>58</v>
      </c>
      <c r="D246" s="2" t="s">
        <v>36</v>
      </c>
      <c r="E246" s="2" t="s">
        <v>16</v>
      </c>
      <c r="F246" s="2" t="s">
        <v>7</v>
      </c>
      <c r="G246" s="2" t="s">
        <v>42</v>
      </c>
      <c r="H246" s="11" t="n">
        <v>46287</v>
      </c>
      <c r="I246" s="11" t="n">
        <v>46291</v>
      </c>
      <c r="J246" s="2" t="n">
        <f aca="false">IF(I246="","",I246-H246)</f>
        <v>4</v>
      </c>
    </row>
    <row r="247" customFormat="false" ht="15" hidden="false" customHeight="false" outlineLevel="0" collapsed="false">
      <c r="A247" s="2" t="s">
        <v>425</v>
      </c>
      <c r="B247" s="2" t="s">
        <v>426</v>
      </c>
      <c r="C247" s="2" t="s">
        <v>35</v>
      </c>
      <c r="D247" s="2" t="s">
        <v>68</v>
      </c>
      <c r="E247" s="2" t="s">
        <v>15</v>
      </c>
      <c r="F247" s="2" t="s">
        <v>7</v>
      </c>
      <c r="G247" s="2" t="s">
        <v>49</v>
      </c>
      <c r="H247" s="11" t="n">
        <v>46213</v>
      </c>
      <c r="I247" s="11" t="n">
        <v>46225</v>
      </c>
      <c r="J247" s="2" t="n">
        <f aca="false">IF(I247="","",I247-H247)</f>
        <v>12</v>
      </c>
    </row>
    <row r="248" customFormat="false" ht="15" hidden="false" customHeight="false" outlineLevel="0" collapsed="false">
      <c r="A248" s="2" t="s">
        <v>427</v>
      </c>
      <c r="B248" s="2" t="s">
        <v>228</v>
      </c>
      <c r="C248" s="2" t="s">
        <v>40</v>
      </c>
      <c r="D248" s="2" t="s">
        <v>36</v>
      </c>
      <c r="E248" s="2" t="s">
        <v>15</v>
      </c>
      <c r="F248" s="2" t="s">
        <v>7</v>
      </c>
      <c r="G248" s="2" t="s">
        <v>55</v>
      </c>
      <c r="H248" s="11" t="n">
        <v>46230</v>
      </c>
      <c r="I248" s="11" t="n">
        <v>46236</v>
      </c>
      <c r="J248" s="2" t="n">
        <f aca="false">IF(I248="","",I248-H248)</f>
        <v>6</v>
      </c>
    </row>
    <row r="249" customFormat="false" ht="15" hidden="false" customHeight="false" outlineLevel="0" collapsed="false">
      <c r="A249" s="2" t="s">
        <v>428</v>
      </c>
      <c r="B249" s="2" t="s">
        <v>98</v>
      </c>
      <c r="C249" s="2" t="s">
        <v>45</v>
      </c>
      <c r="D249" s="2" t="s">
        <v>41</v>
      </c>
      <c r="E249" s="2" t="s">
        <v>15</v>
      </c>
      <c r="F249" s="2" t="s">
        <v>7</v>
      </c>
      <c r="G249" s="2" t="s">
        <v>37</v>
      </c>
      <c r="H249" s="11" t="n">
        <v>46304</v>
      </c>
      <c r="I249" s="11" t="n">
        <v>46314</v>
      </c>
      <c r="J249" s="2" t="n">
        <f aca="false">IF(I249="","",I249-H249)</f>
        <v>10</v>
      </c>
    </row>
    <row r="250" customFormat="false" ht="15" hidden="false" customHeight="false" outlineLevel="0" collapsed="false">
      <c r="A250" s="2" t="s">
        <v>429</v>
      </c>
      <c r="B250" s="2" t="s">
        <v>430</v>
      </c>
      <c r="C250" s="2" t="s">
        <v>40</v>
      </c>
      <c r="D250" s="2" t="s">
        <v>41</v>
      </c>
      <c r="E250" s="2" t="s">
        <v>16</v>
      </c>
      <c r="F250" s="2" t="s">
        <v>7</v>
      </c>
      <c r="G250" s="2" t="s">
        <v>37</v>
      </c>
      <c r="H250" s="11" t="n">
        <v>46296</v>
      </c>
      <c r="I250" s="11" t="n">
        <v>46300</v>
      </c>
      <c r="J250" s="2" t="n">
        <f aca="false">IF(I250="","",I250-H250)</f>
        <v>4</v>
      </c>
    </row>
    <row r="251" customFormat="false" ht="15" hidden="false" customHeight="false" outlineLevel="0" collapsed="false">
      <c r="A251" s="2" t="s">
        <v>431</v>
      </c>
      <c r="B251" s="2" t="s">
        <v>371</v>
      </c>
      <c r="C251" s="2" t="s">
        <v>54</v>
      </c>
      <c r="D251" s="2" t="s">
        <v>36</v>
      </c>
      <c r="E251" s="2" t="s">
        <v>15</v>
      </c>
      <c r="F251" s="2" t="s">
        <v>8</v>
      </c>
      <c r="G251" s="2" t="s">
        <v>55</v>
      </c>
      <c r="H251" s="11" t="n">
        <v>46245</v>
      </c>
      <c r="I251" s="11" t="n">
        <v>46248</v>
      </c>
      <c r="J251" s="2" t="n">
        <f aca="false">IF(I251="","",I251-H251)</f>
        <v>3</v>
      </c>
    </row>
    <row r="252" customFormat="false" ht="15" hidden="false" customHeight="false" outlineLevel="0" collapsed="false">
      <c r="A252" s="2" t="s">
        <v>432</v>
      </c>
      <c r="B252" s="2" t="s">
        <v>433</v>
      </c>
      <c r="C252" s="2" t="s">
        <v>45</v>
      </c>
      <c r="D252" s="2" t="s">
        <v>68</v>
      </c>
      <c r="E252" s="2" t="s">
        <v>16</v>
      </c>
      <c r="F252" s="2" t="s">
        <v>7</v>
      </c>
      <c r="G252" s="2" t="s">
        <v>55</v>
      </c>
      <c r="H252" s="11" t="n">
        <v>46251</v>
      </c>
      <c r="I252" s="11" t="n">
        <v>46262</v>
      </c>
      <c r="J252" s="2" t="n">
        <f aca="false">IF(I252="","",I252-H252)</f>
        <v>11</v>
      </c>
    </row>
    <row r="253" customFormat="false" ht="15" hidden="false" customHeight="false" outlineLevel="0" collapsed="false">
      <c r="A253" s="2" t="s">
        <v>434</v>
      </c>
      <c r="B253" s="2" t="s">
        <v>130</v>
      </c>
      <c r="C253" s="2" t="s">
        <v>54</v>
      </c>
      <c r="D253" s="2" t="s">
        <v>41</v>
      </c>
      <c r="E253" s="2" t="s">
        <v>15</v>
      </c>
      <c r="F253" s="2" t="s">
        <v>7</v>
      </c>
      <c r="G253" s="2" t="s">
        <v>37</v>
      </c>
      <c r="H253" s="11" t="n">
        <v>46205</v>
      </c>
      <c r="I253" s="11" t="n">
        <v>46213</v>
      </c>
      <c r="J253" s="2" t="n">
        <f aca="false">IF(I253="","",I253-H253)</f>
        <v>8</v>
      </c>
    </row>
    <row r="254" customFormat="false" ht="15" hidden="false" customHeight="false" outlineLevel="0" collapsed="false">
      <c r="A254" s="2" t="s">
        <v>435</v>
      </c>
      <c r="B254" s="2" t="s">
        <v>146</v>
      </c>
      <c r="C254" s="2" t="s">
        <v>40</v>
      </c>
      <c r="D254" s="2" t="s">
        <v>68</v>
      </c>
      <c r="E254" s="2" t="s">
        <v>16</v>
      </c>
      <c r="F254" s="2" t="s">
        <v>7</v>
      </c>
      <c r="G254" s="2" t="s">
        <v>55</v>
      </c>
      <c r="H254" s="11" t="n">
        <v>46223</v>
      </c>
      <c r="I254" s="11" t="n">
        <v>46229</v>
      </c>
      <c r="J254" s="2" t="n">
        <f aca="false">IF(I254="","",I254-H254)</f>
        <v>6</v>
      </c>
    </row>
    <row r="255" customFormat="false" ht="15" hidden="false" customHeight="false" outlineLevel="0" collapsed="false">
      <c r="A255" s="2" t="s">
        <v>436</v>
      </c>
      <c r="B255" s="2" t="s">
        <v>325</v>
      </c>
      <c r="C255" s="2" t="s">
        <v>58</v>
      </c>
      <c r="D255" s="2" t="s">
        <v>68</v>
      </c>
      <c r="E255" s="2" t="s">
        <v>15</v>
      </c>
      <c r="F255" s="2" t="s">
        <v>7</v>
      </c>
      <c r="G255" s="2" t="s">
        <v>37</v>
      </c>
      <c r="H255" s="11" t="n">
        <v>46220</v>
      </c>
      <c r="I255" s="11" t="n">
        <v>46226</v>
      </c>
      <c r="J255" s="2" t="n">
        <f aca="false">IF(I255="","",I255-H255)</f>
        <v>6</v>
      </c>
    </row>
    <row r="256" customFormat="false" ht="15" hidden="false" customHeight="false" outlineLevel="0" collapsed="false">
      <c r="A256" s="2" t="s">
        <v>437</v>
      </c>
      <c r="B256" s="2" t="s">
        <v>102</v>
      </c>
      <c r="C256" s="2" t="s">
        <v>45</v>
      </c>
      <c r="D256" s="2" t="s">
        <v>48</v>
      </c>
      <c r="E256" s="2" t="s">
        <v>17</v>
      </c>
      <c r="F256" s="2" t="s">
        <v>8</v>
      </c>
      <c r="G256" s="2" t="s">
        <v>37</v>
      </c>
      <c r="H256" s="11" t="n">
        <v>46310</v>
      </c>
      <c r="I256" s="11" t="n">
        <v>46321</v>
      </c>
      <c r="J256" s="2" t="n">
        <f aca="false">IF(I256="","",I256-H256)</f>
        <v>11</v>
      </c>
    </row>
    <row r="257" customFormat="false" ht="15" hidden="false" customHeight="false" outlineLevel="0" collapsed="false">
      <c r="A257" s="2" t="s">
        <v>438</v>
      </c>
      <c r="B257" s="2" t="s">
        <v>439</v>
      </c>
      <c r="C257" s="2" t="s">
        <v>40</v>
      </c>
      <c r="D257" s="2" t="s">
        <v>36</v>
      </c>
      <c r="E257" s="2" t="s">
        <v>16</v>
      </c>
      <c r="F257" s="2" t="s">
        <v>7</v>
      </c>
      <c r="G257" s="2" t="s">
        <v>55</v>
      </c>
      <c r="H257" s="11" t="n">
        <v>46299</v>
      </c>
      <c r="I257" s="11" t="n">
        <v>46307</v>
      </c>
      <c r="J257" s="2" t="n">
        <f aca="false">IF(I257="","",I257-H257)</f>
        <v>8</v>
      </c>
    </row>
    <row r="258" customFormat="false" ht="15" hidden="false" customHeight="false" outlineLevel="0" collapsed="false">
      <c r="A258" s="2" t="s">
        <v>440</v>
      </c>
      <c r="B258" s="2" t="s">
        <v>209</v>
      </c>
      <c r="C258" s="2" t="s">
        <v>54</v>
      </c>
      <c r="D258" s="2" t="s">
        <v>68</v>
      </c>
      <c r="E258" s="2" t="s">
        <v>15</v>
      </c>
      <c r="F258" s="2" t="s">
        <v>7</v>
      </c>
      <c r="G258" s="2" t="s">
        <v>55</v>
      </c>
      <c r="H258" s="11" t="n">
        <v>46285</v>
      </c>
      <c r="I258" s="11" t="n">
        <v>46286</v>
      </c>
      <c r="J258" s="2" t="n">
        <f aca="false">IF(I258="","",I258-H258)</f>
        <v>1</v>
      </c>
    </row>
    <row r="259" customFormat="false" ht="15" hidden="false" customHeight="false" outlineLevel="0" collapsed="false">
      <c r="A259" s="2" t="s">
        <v>441</v>
      </c>
      <c r="B259" s="2" t="s">
        <v>442</v>
      </c>
      <c r="C259" s="2" t="s">
        <v>54</v>
      </c>
      <c r="D259" s="2" t="s">
        <v>41</v>
      </c>
      <c r="E259" s="2" t="s">
        <v>15</v>
      </c>
      <c r="F259" s="2" t="s">
        <v>7</v>
      </c>
      <c r="G259" s="2" t="s">
        <v>42</v>
      </c>
      <c r="H259" s="11" t="n">
        <v>46272</v>
      </c>
      <c r="I259" s="11" t="n">
        <v>46276</v>
      </c>
      <c r="J259" s="2" t="n">
        <f aca="false">IF(I259="","",I259-H259)</f>
        <v>4</v>
      </c>
    </row>
    <row r="260" customFormat="false" ht="15" hidden="false" customHeight="false" outlineLevel="0" collapsed="false">
      <c r="A260" s="2" t="s">
        <v>443</v>
      </c>
      <c r="B260" s="2" t="s">
        <v>339</v>
      </c>
      <c r="C260" s="2" t="s">
        <v>58</v>
      </c>
      <c r="D260" s="2" t="s">
        <v>36</v>
      </c>
      <c r="E260" s="2" t="s">
        <v>16</v>
      </c>
      <c r="F260" s="2" t="s">
        <v>7</v>
      </c>
      <c r="G260" s="2" t="s">
        <v>37</v>
      </c>
      <c r="H260" s="11" t="n">
        <v>46238</v>
      </c>
      <c r="I260" s="11" t="n">
        <v>46242</v>
      </c>
      <c r="J260" s="2" t="n">
        <f aca="false">IF(I260="","",I260-H260)</f>
        <v>4</v>
      </c>
    </row>
    <row r="261" customFormat="false" ht="15" hidden="false" customHeight="false" outlineLevel="0" collapsed="false">
      <c r="A261" s="2" t="s">
        <v>444</v>
      </c>
      <c r="B261" s="2" t="s">
        <v>137</v>
      </c>
      <c r="C261" s="2" t="s">
        <v>35</v>
      </c>
      <c r="D261" s="2" t="s">
        <v>68</v>
      </c>
      <c r="E261" s="2" t="s">
        <v>15</v>
      </c>
      <c r="F261" s="2" t="s">
        <v>7</v>
      </c>
      <c r="G261" s="2" t="s">
        <v>55</v>
      </c>
      <c r="H261" s="11" t="n">
        <v>46290</v>
      </c>
      <c r="I261" s="11" t="n">
        <v>46299</v>
      </c>
      <c r="J261" s="2" t="n">
        <f aca="false">IF(I261="","",I261-H261)</f>
        <v>9</v>
      </c>
    </row>
    <row r="262" customFormat="false" ht="15" hidden="false" customHeight="false" outlineLevel="0" collapsed="false">
      <c r="A262" s="2" t="s">
        <v>445</v>
      </c>
      <c r="B262" s="2" t="s">
        <v>223</v>
      </c>
      <c r="C262" s="2" t="s">
        <v>45</v>
      </c>
      <c r="D262" s="2" t="s">
        <v>41</v>
      </c>
      <c r="E262" s="2" t="s">
        <v>17</v>
      </c>
      <c r="F262" s="2" t="s">
        <v>7</v>
      </c>
      <c r="G262" s="2" t="s">
        <v>42</v>
      </c>
      <c r="H262" s="11" t="n">
        <v>46258</v>
      </c>
      <c r="I262" s="11" t="n">
        <v>46269</v>
      </c>
      <c r="J262" s="2" t="n">
        <f aca="false">IF(I262="","",I262-H262)</f>
        <v>11</v>
      </c>
    </row>
    <row r="263" customFormat="false" ht="15" hidden="false" customHeight="false" outlineLevel="0" collapsed="false">
      <c r="A263" s="2" t="s">
        <v>446</v>
      </c>
      <c r="B263" s="2" t="s">
        <v>287</v>
      </c>
      <c r="C263" s="2" t="s">
        <v>45</v>
      </c>
      <c r="D263" s="2" t="s">
        <v>41</v>
      </c>
      <c r="E263" s="2" t="s">
        <v>16</v>
      </c>
      <c r="F263" s="2" t="s">
        <v>6</v>
      </c>
      <c r="G263" s="2" t="s">
        <v>37</v>
      </c>
      <c r="H263" s="11" t="n">
        <v>46265</v>
      </c>
      <c r="I263" s="11"/>
      <c r="J263" s="2" t="str">
        <f aca="false">IF(I263="","",I263-H263)</f>
        <v/>
      </c>
    </row>
    <row r="264" customFormat="false" ht="15" hidden="false" customHeight="false" outlineLevel="0" collapsed="false">
      <c r="A264" s="2" t="s">
        <v>447</v>
      </c>
      <c r="B264" s="2" t="s">
        <v>448</v>
      </c>
      <c r="C264" s="2" t="s">
        <v>45</v>
      </c>
      <c r="D264" s="2" t="s">
        <v>68</v>
      </c>
      <c r="E264" s="2" t="s">
        <v>16</v>
      </c>
      <c r="F264" s="2" t="s">
        <v>7</v>
      </c>
      <c r="G264" s="2" t="s">
        <v>37</v>
      </c>
      <c r="H264" s="11" t="n">
        <v>46223</v>
      </c>
      <c r="I264" s="11" t="n">
        <v>46228</v>
      </c>
      <c r="J264" s="2" t="n">
        <f aca="false">IF(I264="","",I264-H264)</f>
        <v>5</v>
      </c>
    </row>
    <row r="265" customFormat="false" ht="15" hidden="false" customHeight="false" outlineLevel="0" collapsed="false">
      <c r="A265" s="2" t="s">
        <v>449</v>
      </c>
      <c r="B265" s="2" t="s">
        <v>260</v>
      </c>
      <c r="C265" s="2" t="s">
        <v>58</v>
      </c>
      <c r="D265" s="2" t="s">
        <v>36</v>
      </c>
      <c r="E265" s="2" t="s">
        <v>16</v>
      </c>
      <c r="F265" s="2" t="s">
        <v>8</v>
      </c>
      <c r="G265" s="2" t="s">
        <v>55</v>
      </c>
      <c r="H265" s="11" t="n">
        <v>46211</v>
      </c>
      <c r="I265" s="11" t="n">
        <v>46223</v>
      </c>
      <c r="J265" s="2" t="n">
        <f aca="false">IF(I265="","",I265-H265)</f>
        <v>12</v>
      </c>
    </row>
    <row r="266" customFormat="false" ht="15" hidden="false" customHeight="false" outlineLevel="0" collapsed="false">
      <c r="A266" s="2" t="s">
        <v>450</v>
      </c>
      <c r="B266" s="2" t="s">
        <v>299</v>
      </c>
      <c r="C266" s="2" t="s">
        <v>35</v>
      </c>
      <c r="D266" s="2" t="s">
        <v>68</v>
      </c>
      <c r="E266" s="2" t="s">
        <v>15</v>
      </c>
      <c r="F266" s="2" t="s">
        <v>7</v>
      </c>
      <c r="G266" s="2" t="s">
        <v>49</v>
      </c>
      <c r="H266" s="11" t="n">
        <v>46203</v>
      </c>
      <c r="I266" s="11" t="n">
        <v>46204</v>
      </c>
      <c r="J266" s="2" t="n">
        <f aca="false">IF(I266="","",I266-H266)</f>
        <v>1</v>
      </c>
    </row>
    <row r="267" customFormat="false" ht="15" hidden="false" customHeight="false" outlineLevel="0" collapsed="false">
      <c r="A267" s="2" t="s">
        <v>451</v>
      </c>
      <c r="B267" s="2" t="s">
        <v>284</v>
      </c>
      <c r="C267" s="2" t="s">
        <v>40</v>
      </c>
      <c r="D267" s="2" t="s">
        <v>41</v>
      </c>
      <c r="E267" s="2" t="s">
        <v>16</v>
      </c>
      <c r="F267" s="2" t="s">
        <v>7</v>
      </c>
      <c r="G267" s="2" t="s">
        <v>55</v>
      </c>
      <c r="H267" s="11" t="n">
        <v>46272</v>
      </c>
      <c r="I267" s="11" t="n">
        <v>46278</v>
      </c>
      <c r="J267" s="2" t="n">
        <f aca="false">IF(I267="","",I267-H267)</f>
        <v>6</v>
      </c>
    </row>
    <row r="268" customFormat="false" ht="15" hidden="false" customHeight="false" outlineLevel="0" collapsed="false">
      <c r="A268" s="2" t="s">
        <v>452</v>
      </c>
      <c r="B268" s="2" t="s">
        <v>307</v>
      </c>
      <c r="C268" s="2" t="s">
        <v>40</v>
      </c>
      <c r="D268" s="2" t="s">
        <v>68</v>
      </c>
      <c r="E268" s="2" t="s">
        <v>16</v>
      </c>
      <c r="F268" s="2" t="s">
        <v>8</v>
      </c>
      <c r="G268" s="2" t="s">
        <v>55</v>
      </c>
      <c r="H268" s="11" t="n">
        <v>46298</v>
      </c>
      <c r="I268" s="11" t="n">
        <v>46306</v>
      </c>
      <c r="J268" s="2" t="n">
        <f aca="false">IF(I268="","",I268-H268)</f>
        <v>8</v>
      </c>
    </row>
    <row r="269" customFormat="false" ht="15" hidden="false" customHeight="false" outlineLevel="0" collapsed="false">
      <c r="A269" s="2" t="s">
        <v>453</v>
      </c>
      <c r="B269" s="2" t="s">
        <v>339</v>
      </c>
      <c r="C269" s="2" t="s">
        <v>35</v>
      </c>
      <c r="D269" s="2" t="s">
        <v>41</v>
      </c>
      <c r="E269" s="2" t="s">
        <v>15</v>
      </c>
      <c r="F269" s="2" t="s">
        <v>7</v>
      </c>
      <c r="G269" s="2" t="s">
        <v>55</v>
      </c>
      <c r="H269" s="11" t="n">
        <v>46307</v>
      </c>
      <c r="I269" s="11" t="n">
        <v>46319</v>
      </c>
      <c r="J269" s="2" t="n">
        <f aca="false">IF(I269="","",I269-H269)</f>
        <v>12</v>
      </c>
    </row>
    <row r="270" customFormat="false" ht="15" hidden="false" customHeight="false" outlineLevel="0" collapsed="false">
      <c r="A270" s="2" t="s">
        <v>454</v>
      </c>
      <c r="B270" s="2" t="s">
        <v>366</v>
      </c>
      <c r="C270" s="2" t="s">
        <v>35</v>
      </c>
      <c r="D270" s="2" t="s">
        <v>68</v>
      </c>
      <c r="E270" s="2" t="s">
        <v>15</v>
      </c>
      <c r="F270" s="2" t="s">
        <v>8</v>
      </c>
      <c r="G270" s="2" t="s">
        <v>37</v>
      </c>
      <c r="H270" s="11" t="n">
        <v>46278</v>
      </c>
      <c r="I270" s="11" t="n">
        <v>46284</v>
      </c>
      <c r="J270" s="2" t="n">
        <f aca="false">IF(I270="","",I270-H270)</f>
        <v>6</v>
      </c>
    </row>
    <row r="271" customFormat="false" ht="15" hidden="false" customHeight="false" outlineLevel="0" collapsed="false">
      <c r="A271" s="2" t="s">
        <v>455</v>
      </c>
      <c r="B271" s="2" t="s">
        <v>456</v>
      </c>
      <c r="C271" s="2" t="s">
        <v>58</v>
      </c>
      <c r="D271" s="2" t="s">
        <v>68</v>
      </c>
      <c r="E271" s="2" t="s">
        <v>15</v>
      </c>
      <c r="F271" s="2" t="s">
        <v>7</v>
      </c>
      <c r="G271" s="2" t="s">
        <v>55</v>
      </c>
      <c r="H271" s="11" t="n">
        <v>46306</v>
      </c>
      <c r="I271" s="11" t="n">
        <v>46316</v>
      </c>
      <c r="J271" s="2" t="n">
        <f aca="false">IF(I271="","",I271-H271)</f>
        <v>10</v>
      </c>
    </row>
    <row r="272" customFormat="false" ht="15" hidden="false" customHeight="false" outlineLevel="0" collapsed="false">
      <c r="A272" s="2" t="s">
        <v>457</v>
      </c>
      <c r="B272" s="2" t="s">
        <v>183</v>
      </c>
      <c r="C272" s="2" t="s">
        <v>45</v>
      </c>
      <c r="D272" s="2" t="s">
        <v>68</v>
      </c>
      <c r="E272" s="2" t="s">
        <v>15</v>
      </c>
      <c r="F272" s="2" t="s">
        <v>7</v>
      </c>
      <c r="G272" s="2" t="s">
        <v>49</v>
      </c>
      <c r="H272" s="11" t="n">
        <v>46300</v>
      </c>
      <c r="I272" s="11" t="n">
        <v>46308</v>
      </c>
      <c r="J272" s="2" t="n">
        <f aca="false">IF(I272="","",I272-H272)</f>
        <v>8</v>
      </c>
    </row>
    <row r="273" customFormat="false" ht="15" hidden="false" customHeight="false" outlineLevel="0" collapsed="false">
      <c r="A273" s="2" t="s">
        <v>458</v>
      </c>
      <c r="B273" s="2" t="s">
        <v>279</v>
      </c>
      <c r="C273" s="2" t="s">
        <v>54</v>
      </c>
      <c r="D273" s="2" t="s">
        <v>48</v>
      </c>
      <c r="E273" s="2" t="s">
        <v>15</v>
      </c>
      <c r="F273" s="2" t="s">
        <v>6</v>
      </c>
      <c r="G273" s="2" t="s">
        <v>42</v>
      </c>
      <c r="H273" s="11" t="n">
        <v>46282</v>
      </c>
      <c r="I273" s="11"/>
      <c r="J273" s="2" t="str">
        <f aca="false">IF(I273="","",I273-H273)</f>
        <v/>
      </c>
    </row>
    <row r="274" customFormat="false" ht="15" hidden="false" customHeight="false" outlineLevel="0" collapsed="false">
      <c r="A274" s="2" t="s">
        <v>459</v>
      </c>
      <c r="B274" s="2" t="s">
        <v>250</v>
      </c>
      <c r="C274" s="2" t="s">
        <v>45</v>
      </c>
      <c r="D274" s="2" t="s">
        <v>68</v>
      </c>
      <c r="E274" s="2" t="s">
        <v>16</v>
      </c>
      <c r="F274" s="2" t="s">
        <v>8</v>
      </c>
      <c r="G274" s="2" t="s">
        <v>55</v>
      </c>
      <c r="H274" s="11" t="n">
        <v>46203</v>
      </c>
      <c r="I274" s="11" t="n">
        <v>46207</v>
      </c>
      <c r="J274" s="2" t="n">
        <f aca="false">IF(I274="","",I274-H274)</f>
        <v>4</v>
      </c>
    </row>
    <row r="275" customFormat="false" ht="15" hidden="false" customHeight="false" outlineLevel="0" collapsed="false">
      <c r="A275" s="2" t="s">
        <v>460</v>
      </c>
      <c r="B275" s="2" t="s">
        <v>366</v>
      </c>
      <c r="C275" s="2" t="s">
        <v>54</v>
      </c>
      <c r="D275" s="2" t="s">
        <v>68</v>
      </c>
      <c r="E275" s="2" t="s">
        <v>15</v>
      </c>
      <c r="F275" s="2" t="s">
        <v>7</v>
      </c>
      <c r="G275" s="2" t="s">
        <v>49</v>
      </c>
      <c r="H275" s="11" t="n">
        <v>46212</v>
      </c>
      <c r="I275" s="11" t="n">
        <v>46219</v>
      </c>
      <c r="J275" s="2" t="n">
        <f aca="false">IF(I275="","",I275-H275)</f>
        <v>7</v>
      </c>
    </row>
    <row r="276" customFormat="false" ht="15" hidden="false" customHeight="false" outlineLevel="0" collapsed="false">
      <c r="A276" s="2" t="s">
        <v>461</v>
      </c>
      <c r="B276" s="2" t="s">
        <v>462</v>
      </c>
      <c r="C276" s="2" t="s">
        <v>45</v>
      </c>
      <c r="D276" s="2" t="s">
        <v>48</v>
      </c>
      <c r="E276" s="2" t="s">
        <v>17</v>
      </c>
      <c r="F276" s="2" t="s">
        <v>7</v>
      </c>
      <c r="G276" s="2" t="s">
        <v>55</v>
      </c>
      <c r="H276" s="11" t="n">
        <v>46244</v>
      </c>
      <c r="I276" s="11" t="n">
        <v>46249</v>
      </c>
      <c r="J276" s="2" t="n">
        <f aca="false">IF(I276="","",I276-H276)</f>
        <v>5</v>
      </c>
    </row>
    <row r="277" customFormat="false" ht="15" hidden="false" customHeight="false" outlineLevel="0" collapsed="false">
      <c r="A277" s="2" t="s">
        <v>463</v>
      </c>
      <c r="B277" s="2" t="s">
        <v>168</v>
      </c>
      <c r="C277" s="2" t="s">
        <v>40</v>
      </c>
      <c r="D277" s="2" t="s">
        <v>41</v>
      </c>
      <c r="E277" s="2" t="s">
        <v>17</v>
      </c>
      <c r="F277" s="2" t="s">
        <v>7</v>
      </c>
      <c r="G277" s="2" t="s">
        <v>37</v>
      </c>
      <c r="H277" s="11" t="n">
        <v>46234</v>
      </c>
      <c r="I277" s="11" t="n">
        <v>46244</v>
      </c>
      <c r="J277" s="2" t="n">
        <f aca="false">IF(I277="","",I277-H277)</f>
        <v>10</v>
      </c>
    </row>
    <row r="278" customFormat="false" ht="15" hidden="false" customHeight="false" outlineLevel="0" collapsed="false">
      <c r="A278" s="2" t="s">
        <v>464</v>
      </c>
      <c r="B278" s="2" t="s">
        <v>67</v>
      </c>
      <c r="C278" s="2" t="s">
        <v>58</v>
      </c>
      <c r="D278" s="2" t="s">
        <v>41</v>
      </c>
      <c r="E278" s="2" t="s">
        <v>16</v>
      </c>
      <c r="F278" s="2" t="s">
        <v>7</v>
      </c>
      <c r="G278" s="2" t="s">
        <v>37</v>
      </c>
      <c r="H278" s="11" t="n">
        <v>46216</v>
      </c>
      <c r="I278" s="11" t="n">
        <v>46225</v>
      </c>
      <c r="J278" s="2" t="n">
        <f aca="false">IF(I278="","",I278-H278)</f>
        <v>9</v>
      </c>
    </row>
    <row r="279" customFormat="false" ht="15" hidden="false" customHeight="false" outlineLevel="0" collapsed="false">
      <c r="A279" s="2" t="s">
        <v>465</v>
      </c>
      <c r="B279" s="2" t="s">
        <v>466</v>
      </c>
      <c r="C279" s="2" t="s">
        <v>58</v>
      </c>
      <c r="D279" s="2" t="s">
        <v>48</v>
      </c>
      <c r="E279" s="2" t="s">
        <v>17</v>
      </c>
      <c r="F279" s="2" t="s">
        <v>7</v>
      </c>
      <c r="G279" s="2" t="s">
        <v>42</v>
      </c>
      <c r="H279" s="11" t="n">
        <v>46220</v>
      </c>
      <c r="I279" s="11" t="n">
        <v>46230</v>
      </c>
      <c r="J279" s="2" t="n">
        <f aca="false">IF(I279="","",I279-H279)</f>
        <v>10</v>
      </c>
    </row>
    <row r="280" customFormat="false" ht="15" hidden="false" customHeight="false" outlineLevel="0" collapsed="false">
      <c r="A280" s="2" t="s">
        <v>467</v>
      </c>
      <c r="B280" s="2" t="s">
        <v>139</v>
      </c>
      <c r="C280" s="2" t="s">
        <v>54</v>
      </c>
      <c r="D280" s="2" t="s">
        <v>41</v>
      </c>
      <c r="E280" s="2" t="s">
        <v>15</v>
      </c>
      <c r="F280" s="2" t="s">
        <v>7</v>
      </c>
      <c r="G280" s="2" t="s">
        <v>42</v>
      </c>
      <c r="H280" s="11" t="n">
        <v>46275</v>
      </c>
      <c r="I280" s="11" t="n">
        <v>46276</v>
      </c>
      <c r="J280" s="2" t="n">
        <f aca="false">IF(I280="","",I280-H280)</f>
        <v>1</v>
      </c>
    </row>
    <row r="281" customFormat="false" ht="15" hidden="false" customHeight="false" outlineLevel="0" collapsed="false">
      <c r="A281" s="2" t="s">
        <v>468</v>
      </c>
      <c r="B281" s="2" t="s">
        <v>439</v>
      </c>
      <c r="C281" s="2" t="s">
        <v>58</v>
      </c>
      <c r="D281" s="2" t="s">
        <v>41</v>
      </c>
      <c r="E281" s="2" t="s">
        <v>16</v>
      </c>
      <c r="F281" s="2" t="s">
        <v>8</v>
      </c>
      <c r="G281" s="2" t="s">
        <v>49</v>
      </c>
      <c r="H281" s="11" t="n">
        <v>46283</v>
      </c>
      <c r="I281" s="11" t="n">
        <v>46290</v>
      </c>
      <c r="J281" s="2" t="n">
        <f aca="false">IF(I281="","",I281-H281)</f>
        <v>7</v>
      </c>
    </row>
    <row r="282" customFormat="false" ht="15" hidden="false" customHeight="false" outlineLevel="0" collapsed="false">
      <c r="A282" s="2" t="s">
        <v>469</v>
      </c>
      <c r="B282" s="2" t="s">
        <v>287</v>
      </c>
      <c r="C282" s="2" t="s">
        <v>45</v>
      </c>
      <c r="D282" s="2" t="s">
        <v>48</v>
      </c>
      <c r="E282" s="2" t="s">
        <v>15</v>
      </c>
      <c r="F282" s="2" t="s">
        <v>7</v>
      </c>
      <c r="G282" s="2" t="s">
        <v>42</v>
      </c>
      <c r="H282" s="11" t="n">
        <v>46204</v>
      </c>
      <c r="I282" s="11" t="n">
        <v>46213</v>
      </c>
      <c r="J282" s="2" t="n">
        <f aca="false">IF(I282="","",I282-H282)</f>
        <v>9</v>
      </c>
    </row>
    <row r="283" customFormat="false" ht="15" hidden="false" customHeight="false" outlineLevel="0" collapsed="false">
      <c r="A283" s="2" t="s">
        <v>470</v>
      </c>
      <c r="B283" s="2" t="s">
        <v>374</v>
      </c>
      <c r="C283" s="2" t="s">
        <v>54</v>
      </c>
      <c r="D283" s="2" t="s">
        <v>68</v>
      </c>
      <c r="E283" s="2" t="s">
        <v>15</v>
      </c>
      <c r="F283" s="2" t="s">
        <v>7</v>
      </c>
      <c r="G283" s="2" t="s">
        <v>37</v>
      </c>
      <c r="H283" s="11" t="n">
        <v>46219</v>
      </c>
      <c r="I283" s="11" t="n">
        <v>46223</v>
      </c>
      <c r="J283" s="2" t="n">
        <f aca="false">IF(I283="","",I283-H283)</f>
        <v>4</v>
      </c>
    </row>
    <row r="284" customFormat="false" ht="15" hidden="false" customHeight="false" outlineLevel="0" collapsed="false">
      <c r="A284" s="2" t="s">
        <v>471</v>
      </c>
      <c r="B284" s="2" t="s">
        <v>90</v>
      </c>
      <c r="C284" s="2" t="s">
        <v>45</v>
      </c>
      <c r="D284" s="2" t="s">
        <v>48</v>
      </c>
      <c r="E284" s="2" t="s">
        <v>17</v>
      </c>
      <c r="F284" s="2" t="s">
        <v>8</v>
      </c>
      <c r="G284" s="2" t="s">
        <v>55</v>
      </c>
      <c r="H284" s="11" t="n">
        <v>46267</v>
      </c>
      <c r="I284" s="11" t="n">
        <v>46278</v>
      </c>
      <c r="J284" s="2" t="n">
        <f aca="false">IF(I284="","",I284-H284)</f>
        <v>11</v>
      </c>
    </row>
    <row r="285" customFormat="false" ht="15" hidden="false" customHeight="false" outlineLevel="0" collapsed="false">
      <c r="A285" s="2" t="s">
        <v>472</v>
      </c>
      <c r="B285" s="2" t="s">
        <v>82</v>
      </c>
      <c r="C285" s="2" t="s">
        <v>54</v>
      </c>
      <c r="D285" s="2" t="s">
        <v>48</v>
      </c>
      <c r="E285" s="2" t="s">
        <v>15</v>
      </c>
      <c r="F285" s="2" t="s">
        <v>7</v>
      </c>
      <c r="G285" s="2" t="s">
        <v>55</v>
      </c>
      <c r="H285" s="11" t="n">
        <v>46265</v>
      </c>
      <c r="I285" s="11" t="n">
        <v>46268</v>
      </c>
      <c r="J285" s="2" t="n">
        <f aca="false">IF(I285="","",I285-H285)</f>
        <v>3</v>
      </c>
    </row>
    <row r="286" customFormat="false" ht="15" hidden="false" customHeight="false" outlineLevel="0" collapsed="false">
      <c r="A286" s="2" t="s">
        <v>473</v>
      </c>
      <c r="B286" s="2" t="s">
        <v>474</v>
      </c>
      <c r="C286" s="2" t="s">
        <v>45</v>
      </c>
      <c r="D286" s="2" t="s">
        <v>48</v>
      </c>
      <c r="E286" s="2" t="s">
        <v>16</v>
      </c>
      <c r="F286" s="2" t="s">
        <v>7</v>
      </c>
      <c r="G286" s="2" t="s">
        <v>55</v>
      </c>
      <c r="H286" s="11" t="n">
        <v>46255</v>
      </c>
      <c r="I286" s="11" t="n">
        <v>46266</v>
      </c>
      <c r="J286" s="2" t="n">
        <f aca="false">IF(I286="","",I286-H286)</f>
        <v>11</v>
      </c>
    </row>
    <row r="287" customFormat="false" ht="15" hidden="false" customHeight="false" outlineLevel="0" collapsed="false">
      <c r="A287" s="2" t="s">
        <v>475</v>
      </c>
      <c r="B287" s="2" t="s">
        <v>476</v>
      </c>
      <c r="C287" s="2" t="s">
        <v>45</v>
      </c>
      <c r="D287" s="2" t="s">
        <v>41</v>
      </c>
      <c r="E287" s="2" t="s">
        <v>17</v>
      </c>
      <c r="F287" s="2" t="s">
        <v>7</v>
      </c>
      <c r="G287" s="2" t="s">
        <v>55</v>
      </c>
      <c r="H287" s="11" t="n">
        <v>46215</v>
      </c>
      <c r="I287" s="11" t="n">
        <v>46222</v>
      </c>
      <c r="J287" s="2" t="n">
        <f aca="false">IF(I287="","",I287-H287)</f>
        <v>7</v>
      </c>
    </row>
    <row r="288" customFormat="false" ht="15" hidden="false" customHeight="false" outlineLevel="0" collapsed="false">
      <c r="A288" s="2" t="s">
        <v>477</v>
      </c>
      <c r="B288" s="2" t="s">
        <v>94</v>
      </c>
      <c r="C288" s="2" t="s">
        <v>35</v>
      </c>
      <c r="D288" s="2" t="s">
        <v>68</v>
      </c>
      <c r="E288" s="2" t="s">
        <v>15</v>
      </c>
      <c r="F288" s="2" t="s">
        <v>7</v>
      </c>
      <c r="G288" s="2" t="s">
        <v>37</v>
      </c>
      <c r="H288" s="11" t="n">
        <v>46294</v>
      </c>
      <c r="I288" s="11" t="n">
        <v>46301</v>
      </c>
      <c r="J288" s="2" t="n">
        <f aca="false">IF(I288="","",I288-H288)</f>
        <v>7</v>
      </c>
    </row>
    <row r="289" customFormat="false" ht="15" hidden="false" customHeight="false" outlineLevel="0" collapsed="false">
      <c r="A289" s="2" t="s">
        <v>478</v>
      </c>
      <c r="B289" s="2" t="s">
        <v>67</v>
      </c>
      <c r="C289" s="2" t="s">
        <v>35</v>
      </c>
      <c r="D289" s="2" t="s">
        <v>48</v>
      </c>
      <c r="E289" s="2" t="s">
        <v>15</v>
      </c>
      <c r="F289" s="2" t="s">
        <v>7</v>
      </c>
      <c r="G289" s="2" t="s">
        <v>55</v>
      </c>
      <c r="H289" s="11" t="n">
        <v>46309</v>
      </c>
      <c r="I289" s="11" t="n">
        <v>46316</v>
      </c>
      <c r="J289" s="2" t="n">
        <f aca="false">IF(I289="","",I289-H289)</f>
        <v>7</v>
      </c>
    </row>
    <row r="290" customFormat="false" ht="15" hidden="false" customHeight="false" outlineLevel="0" collapsed="false">
      <c r="A290" s="2" t="s">
        <v>479</v>
      </c>
      <c r="B290" s="2" t="s">
        <v>480</v>
      </c>
      <c r="C290" s="2" t="s">
        <v>40</v>
      </c>
      <c r="D290" s="2" t="s">
        <v>36</v>
      </c>
      <c r="E290" s="2" t="s">
        <v>15</v>
      </c>
      <c r="F290" s="2" t="s">
        <v>7</v>
      </c>
      <c r="G290" s="2" t="s">
        <v>42</v>
      </c>
      <c r="H290" s="11" t="n">
        <v>46267</v>
      </c>
      <c r="I290" s="11" t="n">
        <v>46278</v>
      </c>
      <c r="J290" s="2" t="n">
        <f aca="false">IF(I290="","",I290-H290)</f>
        <v>11</v>
      </c>
    </row>
    <row r="291" customFormat="false" ht="15" hidden="false" customHeight="false" outlineLevel="0" collapsed="false">
      <c r="A291" s="2" t="s">
        <v>481</v>
      </c>
      <c r="B291" s="2" t="s">
        <v>183</v>
      </c>
      <c r="C291" s="2" t="s">
        <v>40</v>
      </c>
      <c r="D291" s="2" t="s">
        <v>68</v>
      </c>
      <c r="E291" s="2" t="s">
        <v>15</v>
      </c>
      <c r="F291" s="2" t="s">
        <v>7</v>
      </c>
      <c r="G291" s="2" t="s">
        <v>55</v>
      </c>
      <c r="H291" s="11" t="n">
        <v>46224</v>
      </c>
      <c r="I291" s="11" t="n">
        <v>46232</v>
      </c>
      <c r="J291" s="2" t="n">
        <f aca="false">IF(I291="","",I291-H291)</f>
        <v>8</v>
      </c>
    </row>
    <row r="292" customFormat="false" ht="15" hidden="false" customHeight="false" outlineLevel="0" collapsed="false">
      <c r="A292" s="2" t="s">
        <v>482</v>
      </c>
      <c r="B292" s="2" t="s">
        <v>82</v>
      </c>
      <c r="C292" s="2" t="s">
        <v>54</v>
      </c>
      <c r="D292" s="2" t="s">
        <v>41</v>
      </c>
      <c r="E292" s="2" t="s">
        <v>16</v>
      </c>
      <c r="F292" s="2" t="s">
        <v>7</v>
      </c>
      <c r="G292" s="2" t="s">
        <v>49</v>
      </c>
      <c r="H292" s="11" t="n">
        <v>46207</v>
      </c>
      <c r="I292" s="11" t="n">
        <v>46211</v>
      </c>
      <c r="J292" s="2" t="n">
        <f aca="false">IF(I292="","",I292-H292)</f>
        <v>4</v>
      </c>
    </row>
    <row r="293" customFormat="false" ht="15" hidden="false" customHeight="false" outlineLevel="0" collapsed="false">
      <c r="A293" s="2" t="s">
        <v>483</v>
      </c>
      <c r="B293" s="2" t="s">
        <v>337</v>
      </c>
      <c r="C293" s="2" t="s">
        <v>40</v>
      </c>
      <c r="D293" s="2" t="s">
        <v>41</v>
      </c>
      <c r="E293" s="2" t="s">
        <v>16</v>
      </c>
      <c r="F293" s="2" t="s">
        <v>7</v>
      </c>
      <c r="G293" s="2" t="s">
        <v>49</v>
      </c>
      <c r="H293" s="11" t="n">
        <v>46265</v>
      </c>
      <c r="I293" s="11" t="n">
        <v>46275</v>
      </c>
      <c r="J293" s="2" t="n">
        <f aca="false">IF(I293="","",I293-H293)</f>
        <v>10</v>
      </c>
    </row>
    <row r="294" customFormat="false" ht="15" hidden="false" customHeight="false" outlineLevel="0" collapsed="false">
      <c r="A294" s="2" t="s">
        <v>484</v>
      </c>
      <c r="B294" s="2" t="s">
        <v>485</v>
      </c>
      <c r="C294" s="2" t="s">
        <v>54</v>
      </c>
      <c r="D294" s="2" t="s">
        <v>68</v>
      </c>
      <c r="E294" s="2" t="s">
        <v>15</v>
      </c>
      <c r="F294" s="2" t="s">
        <v>8</v>
      </c>
      <c r="G294" s="2" t="s">
        <v>42</v>
      </c>
      <c r="H294" s="11" t="n">
        <v>46211</v>
      </c>
      <c r="I294" s="11" t="n">
        <v>46222</v>
      </c>
      <c r="J294" s="2" t="n">
        <f aca="false">IF(I294="","",I294-H294)</f>
        <v>11</v>
      </c>
    </row>
    <row r="295" customFormat="false" ht="15" hidden="false" customHeight="false" outlineLevel="0" collapsed="false">
      <c r="A295" s="2" t="s">
        <v>486</v>
      </c>
      <c r="B295" s="2" t="s">
        <v>487</v>
      </c>
      <c r="C295" s="2" t="s">
        <v>35</v>
      </c>
      <c r="D295" s="2" t="s">
        <v>68</v>
      </c>
      <c r="E295" s="2" t="s">
        <v>17</v>
      </c>
      <c r="F295" s="2" t="s">
        <v>8</v>
      </c>
      <c r="G295" s="2" t="s">
        <v>49</v>
      </c>
      <c r="H295" s="11" t="n">
        <v>46242</v>
      </c>
      <c r="I295" s="11" t="n">
        <v>46247</v>
      </c>
      <c r="J295" s="2" t="n">
        <f aca="false">IF(I295="","",I295-H295)</f>
        <v>5</v>
      </c>
    </row>
    <row r="296" customFormat="false" ht="15" hidden="false" customHeight="false" outlineLevel="0" collapsed="false">
      <c r="A296" s="2" t="s">
        <v>488</v>
      </c>
      <c r="B296" s="2" t="s">
        <v>489</v>
      </c>
      <c r="C296" s="2" t="s">
        <v>45</v>
      </c>
      <c r="D296" s="2" t="s">
        <v>68</v>
      </c>
      <c r="E296" s="2" t="s">
        <v>15</v>
      </c>
      <c r="F296" s="2" t="s">
        <v>6</v>
      </c>
      <c r="G296" s="2" t="s">
        <v>42</v>
      </c>
      <c r="H296" s="11" t="n">
        <v>46317</v>
      </c>
      <c r="I296" s="11"/>
      <c r="J296" s="2" t="str">
        <f aca="false">IF(I296="","",I296-H296)</f>
        <v/>
      </c>
    </row>
    <row r="297" customFormat="false" ht="15" hidden="false" customHeight="false" outlineLevel="0" collapsed="false">
      <c r="A297" s="2" t="s">
        <v>490</v>
      </c>
      <c r="B297" s="2" t="s">
        <v>491</v>
      </c>
      <c r="C297" s="2" t="s">
        <v>54</v>
      </c>
      <c r="D297" s="2" t="s">
        <v>48</v>
      </c>
      <c r="E297" s="2" t="s">
        <v>16</v>
      </c>
      <c r="F297" s="2" t="s">
        <v>7</v>
      </c>
      <c r="G297" s="2" t="s">
        <v>42</v>
      </c>
      <c r="H297" s="11" t="n">
        <v>46241</v>
      </c>
      <c r="I297" s="11" t="n">
        <v>46251</v>
      </c>
      <c r="J297" s="2" t="n">
        <f aca="false">IF(I297="","",I297-H297)</f>
        <v>10</v>
      </c>
    </row>
    <row r="298" customFormat="false" ht="15" hidden="false" customHeight="false" outlineLevel="0" collapsed="false">
      <c r="A298" s="2" t="s">
        <v>492</v>
      </c>
      <c r="B298" s="2" t="s">
        <v>493</v>
      </c>
      <c r="C298" s="2" t="s">
        <v>58</v>
      </c>
      <c r="D298" s="2" t="s">
        <v>68</v>
      </c>
      <c r="E298" s="2" t="s">
        <v>15</v>
      </c>
      <c r="F298" s="2" t="s">
        <v>7</v>
      </c>
      <c r="G298" s="2" t="s">
        <v>55</v>
      </c>
      <c r="H298" s="11" t="n">
        <v>46222</v>
      </c>
      <c r="I298" s="11" t="n">
        <v>46231</v>
      </c>
      <c r="J298" s="2" t="n">
        <f aca="false">IF(I298="","",I298-H298)</f>
        <v>9</v>
      </c>
    </row>
    <row r="299" customFormat="false" ht="15" hidden="false" customHeight="false" outlineLevel="0" collapsed="false">
      <c r="A299" s="2" t="s">
        <v>494</v>
      </c>
      <c r="B299" s="2" t="s">
        <v>495</v>
      </c>
      <c r="C299" s="2" t="s">
        <v>40</v>
      </c>
      <c r="D299" s="2" t="s">
        <v>68</v>
      </c>
      <c r="E299" s="2" t="s">
        <v>15</v>
      </c>
      <c r="F299" s="2" t="s">
        <v>7</v>
      </c>
      <c r="G299" s="2" t="s">
        <v>55</v>
      </c>
      <c r="H299" s="11" t="n">
        <v>46258</v>
      </c>
      <c r="I299" s="11" t="n">
        <v>46263</v>
      </c>
      <c r="J299" s="2" t="n">
        <f aca="false">IF(I299="","",I299-H299)</f>
        <v>5</v>
      </c>
    </row>
    <row r="300" customFormat="false" ht="15" hidden="false" customHeight="false" outlineLevel="0" collapsed="false">
      <c r="A300" s="2" t="s">
        <v>496</v>
      </c>
      <c r="B300" s="2" t="s">
        <v>456</v>
      </c>
      <c r="C300" s="2" t="s">
        <v>58</v>
      </c>
      <c r="D300" s="2" t="s">
        <v>36</v>
      </c>
      <c r="E300" s="2" t="s">
        <v>15</v>
      </c>
      <c r="F300" s="2" t="s">
        <v>7</v>
      </c>
      <c r="G300" s="2" t="s">
        <v>49</v>
      </c>
      <c r="H300" s="11" t="n">
        <v>46280</v>
      </c>
      <c r="I300" s="11" t="n">
        <v>46289</v>
      </c>
      <c r="J300" s="2" t="n">
        <f aca="false">IF(I300="","",I300-H300)</f>
        <v>9</v>
      </c>
    </row>
    <row r="301" customFormat="false" ht="15" hidden="false" customHeight="false" outlineLevel="0" collapsed="false">
      <c r="A301" s="2" t="s">
        <v>497</v>
      </c>
      <c r="B301" s="2" t="s">
        <v>498</v>
      </c>
      <c r="C301" s="2" t="s">
        <v>40</v>
      </c>
      <c r="D301" s="2" t="s">
        <v>36</v>
      </c>
      <c r="E301" s="2" t="s">
        <v>16</v>
      </c>
      <c r="F301" s="2" t="s">
        <v>7</v>
      </c>
      <c r="G301" s="2" t="s">
        <v>42</v>
      </c>
      <c r="H301" s="11" t="n">
        <v>46308</v>
      </c>
      <c r="I301" s="11" t="n">
        <v>46315</v>
      </c>
      <c r="J301" s="2" t="n">
        <f aca="false">IF(I301="","",I301-H301)</f>
        <v>7</v>
      </c>
    </row>
    <row r="302" customFormat="false" ht="15" hidden="false" customHeight="false" outlineLevel="0" collapsed="false">
      <c r="A302" s="2" t="s">
        <v>499</v>
      </c>
      <c r="B302" s="2" t="s">
        <v>123</v>
      </c>
      <c r="C302" s="2" t="s">
        <v>54</v>
      </c>
      <c r="D302" s="2" t="s">
        <v>68</v>
      </c>
      <c r="E302" s="2" t="s">
        <v>15</v>
      </c>
      <c r="F302" s="2" t="s">
        <v>7</v>
      </c>
      <c r="G302" s="2" t="s">
        <v>37</v>
      </c>
      <c r="H302" s="11" t="n">
        <v>46263</v>
      </c>
      <c r="I302" s="11" t="n">
        <v>46271</v>
      </c>
      <c r="J302" s="2" t="n">
        <f aca="false">IF(I302="","",I302-H302)</f>
        <v>8</v>
      </c>
    </row>
    <row r="303" customFormat="false" ht="15" hidden="false" customHeight="false" outlineLevel="0" collapsed="false">
      <c r="A303" s="2" t="s">
        <v>500</v>
      </c>
      <c r="B303" s="2" t="s">
        <v>53</v>
      </c>
      <c r="C303" s="2" t="s">
        <v>58</v>
      </c>
      <c r="D303" s="2" t="s">
        <v>48</v>
      </c>
      <c r="E303" s="2" t="s">
        <v>15</v>
      </c>
      <c r="F303" s="2" t="s">
        <v>7</v>
      </c>
      <c r="G303" s="2" t="s">
        <v>37</v>
      </c>
      <c r="H303" s="11" t="n">
        <v>46285</v>
      </c>
      <c r="I303" s="11" t="n">
        <v>46296</v>
      </c>
      <c r="J303" s="2" t="n">
        <f aca="false">IF(I303="","",I303-H303)</f>
        <v>11</v>
      </c>
    </row>
    <row r="304" customFormat="false" ht="15" hidden="false" customHeight="false" outlineLevel="0" collapsed="false">
      <c r="A304" s="2" t="s">
        <v>501</v>
      </c>
      <c r="B304" s="2" t="s">
        <v>502</v>
      </c>
      <c r="C304" s="2" t="s">
        <v>54</v>
      </c>
      <c r="D304" s="2" t="s">
        <v>68</v>
      </c>
      <c r="E304" s="2" t="s">
        <v>17</v>
      </c>
      <c r="F304" s="2" t="s">
        <v>6</v>
      </c>
      <c r="G304" s="2" t="s">
        <v>49</v>
      </c>
      <c r="H304" s="11" t="n">
        <v>46276</v>
      </c>
      <c r="I304" s="11"/>
      <c r="J304" s="2" t="str">
        <f aca="false">IF(I304="","",I304-H304)</f>
        <v/>
      </c>
    </row>
    <row r="305" customFormat="false" ht="15" hidden="false" customHeight="false" outlineLevel="0" collapsed="false">
      <c r="A305" s="2" t="s">
        <v>503</v>
      </c>
      <c r="B305" s="2" t="s">
        <v>504</v>
      </c>
      <c r="C305" s="2" t="s">
        <v>35</v>
      </c>
      <c r="D305" s="2" t="s">
        <v>36</v>
      </c>
      <c r="E305" s="2" t="s">
        <v>16</v>
      </c>
      <c r="F305" s="2" t="s">
        <v>7</v>
      </c>
      <c r="G305" s="2" t="s">
        <v>37</v>
      </c>
      <c r="H305" s="11" t="n">
        <v>46274</v>
      </c>
      <c r="I305" s="11" t="n">
        <v>46284</v>
      </c>
      <c r="J305" s="2" t="n">
        <f aca="false">IF(I305="","",I305-H305)</f>
        <v>10</v>
      </c>
    </row>
    <row r="306" customFormat="false" ht="15" hidden="false" customHeight="false" outlineLevel="0" collapsed="false">
      <c r="A306" s="2" t="s">
        <v>505</v>
      </c>
      <c r="B306" s="2" t="s">
        <v>346</v>
      </c>
      <c r="C306" s="2" t="s">
        <v>54</v>
      </c>
      <c r="D306" s="2" t="s">
        <v>36</v>
      </c>
      <c r="E306" s="2" t="s">
        <v>15</v>
      </c>
      <c r="F306" s="2" t="s">
        <v>7</v>
      </c>
      <c r="G306" s="2" t="s">
        <v>49</v>
      </c>
      <c r="H306" s="11" t="n">
        <v>46313</v>
      </c>
      <c r="I306" s="11" t="n">
        <v>46318</v>
      </c>
      <c r="J306" s="2" t="n">
        <f aca="false">IF(I306="","",I306-H306)</f>
        <v>5</v>
      </c>
    </row>
    <row r="307" customFormat="false" ht="15" hidden="false" customHeight="false" outlineLevel="0" collapsed="false">
      <c r="A307" s="2" t="s">
        <v>506</v>
      </c>
      <c r="B307" s="2" t="s">
        <v>256</v>
      </c>
      <c r="C307" s="2" t="s">
        <v>54</v>
      </c>
      <c r="D307" s="2" t="s">
        <v>48</v>
      </c>
      <c r="E307" s="2" t="s">
        <v>16</v>
      </c>
      <c r="F307" s="2" t="s">
        <v>7</v>
      </c>
      <c r="G307" s="2" t="s">
        <v>49</v>
      </c>
      <c r="H307" s="11" t="n">
        <v>46311</v>
      </c>
      <c r="I307" s="11" t="n">
        <v>46312</v>
      </c>
      <c r="J307" s="2" t="n">
        <f aca="false">IF(I307="","",I307-H307)</f>
        <v>1</v>
      </c>
    </row>
    <row r="308" customFormat="false" ht="15" hidden="false" customHeight="false" outlineLevel="0" collapsed="false">
      <c r="A308" s="2" t="s">
        <v>507</v>
      </c>
      <c r="B308" s="2" t="s">
        <v>508</v>
      </c>
      <c r="C308" s="2" t="s">
        <v>45</v>
      </c>
      <c r="D308" s="2" t="s">
        <v>41</v>
      </c>
      <c r="E308" s="2" t="s">
        <v>15</v>
      </c>
      <c r="F308" s="2" t="s">
        <v>7</v>
      </c>
      <c r="G308" s="2" t="s">
        <v>55</v>
      </c>
      <c r="H308" s="11" t="n">
        <v>46272</v>
      </c>
      <c r="I308" s="11" t="n">
        <v>46276</v>
      </c>
      <c r="J308" s="2" t="n">
        <f aca="false">IF(I308="","",I308-H308)</f>
        <v>4</v>
      </c>
    </row>
    <row r="309" customFormat="false" ht="15" hidden="false" customHeight="false" outlineLevel="0" collapsed="false">
      <c r="A309" s="2" t="s">
        <v>509</v>
      </c>
      <c r="B309" s="2" t="s">
        <v>137</v>
      </c>
      <c r="C309" s="2" t="s">
        <v>40</v>
      </c>
      <c r="D309" s="2" t="s">
        <v>68</v>
      </c>
      <c r="E309" s="2" t="s">
        <v>15</v>
      </c>
      <c r="F309" s="2" t="s">
        <v>8</v>
      </c>
      <c r="G309" s="2" t="s">
        <v>37</v>
      </c>
      <c r="H309" s="11" t="n">
        <v>46303</v>
      </c>
      <c r="I309" s="11" t="n">
        <v>46314</v>
      </c>
      <c r="J309" s="2" t="n">
        <f aca="false">IF(I309="","",I309-H309)</f>
        <v>11</v>
      </c>
    </row>
    <row r="310" customFormat="false" ht="15" hidden="false" customHeight="false" outlineLevel="0" collapsed="false">
      <c r="A310" s="2" t="s">
        <v>510</v>
      </c>
      <c r="B310" s="2" t="s">
        <v>511</v>
      </c>
      <c r="C310" s="2" t="s">
        <v>35</v>
      </c>
      <c r="D310" s="2" t="s">
        <v>41</v>
      </c>
      <c r="E310" s="2" t="s">
        <v>16</v>
      </c>
      <c r="F310" s="2" t="s">
        <v>7</v>
      </c>
      <c r="G310" s="2" t="s">
        <v>42</v>
      </c>
      <c r="H310" s="11" t="n">
        <v>46303</v>
      </c>
      <c r="I310" s="11" t="n">
        <v>46306</v>
      </c>
      <c r="J310" s="2" t="n">
        <f aca="false">IF(I310="","",I310-H310)</f>
        <v>3</v>
      </c>
    </row>
    <row r="311" customFormat="false" ht="15" hidden="false" customHeight="false" outlineLevel="0" collapsed="false">
      <c r="A311" s="2" t="s">
        <v>512</v>
      </c>
      <c r="B311" s="2" t="s">
        <v>177</v>
      </c>
      <c r="C311" s="2" t="s">
        <v>58</v>
      </c>
      <c r="D311" s="2" t="s">
        <v>36</v>
      </c>
      <c r="E311" s="2" t="s">
        <v>15</v>
      </c>
      <c r="F311" s="2" t="s">
        <v>7</v>
      </c>
      <c r="G311" s="2" t="s">
        <v>55</v>
      </c>
      <c r="H311" s="11" t="n">
        <v>46276</v>
      </c>
      <c r="I311" s="11" t="n">
        <v>46287</v>
      </c>
      <c r="J311" s="2" t="n">
        <f aca="false">IF(I311="","",I311-H311)</f>
        <v>11</v>
      </c>
    </row>
    <row r="312" customFormat="false" ht="15" hidden="false" customHeight="false" outlineLevel="0" collapsed="false">
      <c r="A312" s="2" t="s">
        <v>513</v>
      </c>
      <c r="B312" s="2" t="s">
        <v>151</v>
      </c>
      <c r="C312" s="2" t="s">
        <v>45</v>
      </c>
      <c r="D312" s="2" t="s">
        <v>41</v>
      </c>
      <c r="E312" s="2" t="s">
        <v>16</v>
      </c>
      <c r="F312" s="2" t="s">
        <v>6</v>
      </c>
      <c r="G312" s="2" t="s">
        <v>49</v>
      </c>
      <c r="H312" s="11" t="n">
        <v>46292</v>
      </c>
      <c r="I312" s="11"/>
      <c r="J312" s="2" t="str">
        <f aca="false">IF(I312="","",I312-H312)</f>
        <v/>
      </c>
    </row>
    <row r="313" customFormat="false" ht="15" hidden="false" customHeight="false" outlineLevel="0" collapsed="false">
      <c r="A313" s="2" t="s">
        <v>514</v>
      </c>
      <c r="B313" s="2" t="s">
        <v>252</v>
      </c>
      <c r="C313" s="2" t="s">
        <v>58</v>
      </c>
      <c r="D313" s="2" t="s">
        <v>68</v>
      </c>
      <c r="E313" s="2" t="s">
        <v>15</v>
      </c>
      <c r="F313" s="2" t="s">
        <v>7</v>
      </c>
      <c r="G313" s="2" t="s">
        <v>37</v>
      </c>
      <c r="H313" s="11" t="n">
        <v>46224</v>
      </c>
      <c r="I313" s="11" t="n">
        <v>46233</v>
      </c>
      <c r="J313" s="2" t="n">
        <f aca="false">IF(I313="","",I313-H313)</f>
        <v>9</v>
      </c>
    </row>
    <row r="314" customFormat="false" ht="15" hidden="false" customHeight="false" outlineLevel="0" collapsed="false">
      <c r="A314" s="2" t="s">
        <v>515</v>
      </c>
      <c r="B314" s="2" t="s">
        <v>516</v>
      </c>
      <c r="C314" s="2" t="s">
        <v>45</v>
      </c>
      <c r="D314" s="2" t="s">
        <v>41</v>
      </c>
      <c r="E314" s="2" t="s">
        <v>15</v>
      </c>
      <c r="F314" s="2" t="s">
        <v>7</v>
      </c>
      <c r="G314" s="2" t="s">
        <v>37</v>
      </c>
      <c r="H314" s="11" t="n">
        <v>46283</v>
      </c>
      <c r="I314" s="11" t="n">
        <v>46293</v>
      </c>
      <c r="J314" s="2" t="n">
        <f aca="false">IF(I314="","",I314-H314)</f>
        <v>10</v>
      </c>
    </row>
    <row r="315" customFormat="false" ht="15" hidden="false" customHeight="false" outlineLevel="0" collapsed="false">
      <c r="A315" s="2" t="s">
        <v>517</v>
      </c>
      <c r="B315" s="2" t="s">
        <v>108</v>
      </c>
      <c r="C315" s="2" t="s">
        <v>54</v>
      </c>
      <c r="D315" s="2" t="s">
        <v>41</v>
      </c>
      <c r="E315" s="2" t="s">
        <v>16</v>
      </c>
      <c r="F315" s="2" t="s">
        <v>8</v>
      </c>
      <c r="G315" s="2" t="s">
        <v>37</v>
      </c>
      <c r="H315" s="11" t="n">
        <v>46249</v>
      </c>
      <c r="I315" s="11" t="n">
        <v>46256</v>
      </c>
      <c r="J315" s="2" t="n">
        <f aca="false">IF(I315="","",I315-H315)</f>
        <v>7</v>
      </c>
    </row>
    <row r="316" customFormat="false" ht="15" hidden="false" customHeight="false" outlineLevel="0" collapsed="false">
      <c r="A316" s="2" t="s">
        <v>518</v>
      </c>
      <c r="B316" s="2" t="s">
        <v>519</v>
      </c>
      <c r="C316" s="2" t="s">
        <v>54</v>
      </c>
      <c r="D316" s="2" t="s">
        <v>36</v>
      </c>
      <c r="E316" s="2" t="s">
        <v>15</v>
      </c>
      <c r="F316" s="2" t="s">
        <v>7</v>
      </c>
      <c r="G316" s="2" t="s">
        <v>55</v>
      </c>
      <c r="H316" s="11" t="n">
        <v>46293</v>
      </c>
      <c r="I316" s="11" t="n">
        <v>46301</v>
      </c>
      <c r="J316" s="2" t="n">
        <f aca="false">IF(I316="","",I316-H316)</f>
        <v>8</v>
      </c>
    </row>
    <row r="317" customFormat="false" ht="15" hidden="false" customHeight="false" outlineLevel="0" collapsed="false">
      <c r="A317" s="2" t="s">
        <v>520</v>
      </c>
      <c r="B317" s="2" t="s">
        <v>177</v>
      </c>
      <c r="C317" s="2" t="s">
        <v>54</v>
      </c>
      <c r="D317" s="2" t="s">
        <v>68</v>
      </c>
      <c r="E317" s="2" t="s">
        <v>15</v>
      </c>
      <c r="F317" s="2" t="s">
        <v>8</v>
      </c>
      <c r="G317" s="2" t="s">
        <v>42</v>
      </c>
      <c r="H317" s="11" t="n">
        <v>46255</v>
      </c>
      <c r="I317" s="11" t="n">
        <v>46267</v>
      </c>
      <c r="J317" s="2" t="n">
        <f aca="false">IF(I317="","",I317-H317)</f>
        <v>12</v>
      </c>
    </row>
    <row r="318" customFormat="false" ht="15" hidden="false" customHeight="false" outlineLevel="0" collapsed="false">
      <c r="A318" s="2" t="s">
        <v>521</v>
      </c>
      <c r="B318" s="2" t="s">
        <v>94</v>
      </c>
      <c r="C318" s="2" t="s">
        <v>45</v>
      </c>
      <c r="D318" s="2" t="s">
        <v>36</v>
      </c>
      <c r="E318" s="2" t="s">
        <v>15</v>
      </c>
      <c r="F318" s="2" t="s">
        <v>7</v>
      </c>
      <c r="G318" s="2" t="s">
        <v>37</v>
      </c>
      <c r="H318" s="11" t="n">
        <v>46266</v>
      </c>
      <c r="I318" s="11" t="n">
        <v>46273</v>
      </c>
      <c r="J318" s="2" t="n">
        <f aca="false">IF(I318="","",I318-H318)</f>
        <v>7</v>
      </c>
    </row>
    <row r="319" customFormat="false" ht="15" hidden="false" customHeight="false" outlineLevel="0" collapsed="false">
      <c r="A319" s="2" t="s">
        <v>522</v>
      </c>
      <c r="B319" s="2" t="s">
        <v>197</v>
      </c>
      <c r="C319" s="2" t="s">
        <v>35</v>
      </c>
      <c r="D319" s="2" t="s">
        <v>68</v>
      </c>
      <c r="E319" s="2" t="s">
        <v>15</v>
      </c>
      <c r="F319" s="2" t="s">
        <v>7</v>
      </c>
      <c r="G319" s="2" t="s">
        <v>55</v>
      </c>
      <c r="H319" s="11" t="n">
        <v>46225</v>
      </c>
      <c r="I319" s="11" t="n">
        <v>46228</v>
      </c>
      <c r="J319" s="2" t="n">
        <f aca="false">IF(I319="","",I319-H319)</f>
        <v>3</v>
      </c>
    </row>
    <row r="320" customFormat="false" ht="15" hidden="false" customHeight="false" outlineLevel="0" collapsed="false">
      <c r="A320" s="2" t="s">
        <v>523</v>
      </c>
      <c r="B320" s="2" t="s">
        <v>175</v>
      </c>
      <c r="C320" s="2" t="s">
        <v>35</v>
      </c>
      <c r="D320" s="2" t="s">
        <v>48</v>
      </c>
      <c r="E320" s="2" t="s">
        <v>15</v>
      </c>
      <c r="F320" s="2" t="s">
        <v>7</v>
      </c>
      <c r="G320" s="2" t="s">
        <v>37</v>
      </c>
      <c r="H320" s="11" t="n">
        <v>46309</v>
      </c>
      <c r="I320" s="11" t="n">
        <v>46319</v>
      </c>
      <c r="J320" s="2" t="n">
        <f aca="false">IF(I320="","",I320-H320)</f>
        <v>10</v>
      </c>
    </row>
    <row r="321" customFormat="false" ht="15" hidden="false" customHeight="false" outlineLevel="0" collapsed="false">
      <c r="A321" s="2" t="s">
        <v>524</v>
      </c>
      <c r="B321" s="2" t="s">
        <v>214</v>
      </c>
      <c r="C321" s="2" t="s">
        <v>58</v>
      </c>
      <c r="D321" s="2" t="s">
        <v>48</v>
      </c>
      <c r="E321" s="2" t="s">
        <v>15</v>
      </c>
      <c r="F321" s="2" t="s">
        <v>7</v>
      </c>
      <c r="G321" s="2" t="s">
        <v>37</v>
      </c>
      <c r="H321" s="11" t="n">
        <v>46241</v>
      </c>
      <c r="I321" s="11" t="n">
        <v>46248</v>
      </c>
      <c r="J321" s="2" t="n">
        <f aca="false">IF(I321="","",I321-H321)</f>
        <v>7</v>
      </c>
    </row>
    <row r="322" customFormat="false" ht="15" hidden="false" customHeight="false" outlineLevel="0" collapsed="false">
      <c r="A322" s="2" t="s">
        <v>525</v>
      </c>
      <c r="B322" s="2" t="s">
        <v>516</v>
      </c>
      <c r="C322" s="2" t="s">
        <v>35</v>
      </c>
      <c r="D322" s="2" t="s">
        <v>41</v>
      </c>
      <c r="E322" s="2" t="s">
        <v>15</v>
      </c>
      <c r="F322" s="2" t="s">
        <v>7</v>
      </c>
      <c r="G322" s="2" t="s">
        <v>49</v>
      </c>
      <c r="H322" s="11" t="n">
        <v>46304</v>
      </c>
      <c r="I322" s="11" t="n">
        <v>46315</v>
      </c>
      <c r="J322" s="2" t="n">
        <f aca="false">IF(I322="","",I322-H322)</f>
        <v>11</v>
      </c>
    </row>
    <row r="323" customFormat="false" ht="15" hidden="false" customHeight="false" outlineLevel="0" collapsed="false">
      <c r="A323" s="2" t="s">
        <v>526</v>
      </c>
      <c r="B323" s="2" t="s">
        <v>485</v>
      </c>
      <c r="C323" s="2" t="s">
        <v>35</v>
      </c>
      <c r="D323" s="2" t="s">
        <v>48</v>
      </c>
      <c r="E323" s="2" t="s">
        <v>16</v>
      </c>
      <c r="F323" s="2" t="s">
        <v>7</v>
      </c>
      <c r="G323" s="2" t="s">
        <v>55</v>
      </c>
      <c r="H323" s="11" t="n">
        <v>46277</v>
      </c>
      <c r="I323" s="11" t="n">
        <v>46278</v>
      </c>
      <c r="J323" s="2" t="n">
        <f aca="false">IF(I323="","",I323-H323)</f>
        <v>1</v>
      </c>
    </row>
    <row r="324" customFormat="false" ht="15" hidden="false" customHeight="false" outlineLevel="0" collapsed="false">
      <c r="A324" s="2" t="s">
        <v>527</v>
      </c>
      <c r="B324" s="2" t="s">
        <v>159</v>
      </c>
      <c r="C324" s="2" t="s">
        <v>58</v>
      </c>
      <c r="D324" s="2" t="s">
        <v>36</v>
      </c>
      <c r="E324" s="2" t="s">
        <v>15</v>
      </c>
      <c r="F324" s="2" t="s">
        <v>8</v>
      </c>
      <c r="G324" s="2" t="s">
        <v>42</v>
      </c>
      <c r="H324" s="11" t="n">
        <v>46213</v>
      </c>
      <c r="I324" s="11" t="n">
        <v>46220</v>
      </c>
      <c r="J324" s="2" t="n">
        <f aca="false">IF(I324="","",I324-H324)</f>
        <v>7</v>
      </c>
    </row>
    <row r="325" customFormat="false" ht="15" hidden="false" customHeight="false" outlineLevel="0" collapsed="false">
      <c r="A325" s="2" t="s">
        <v>528</v>
      </c>
      <c r="B325" s="2" t="s">
        <v>529</v>
      </c>
      <c r="C325" s="2" t="s">
        <v>40</v>
      </c>
      <c r="D325" s="2" t="s">
        <v>41</v>
      </c>
      <c r="E325" s="2" t="s">
        <v>16</v>
      </c>
      <c r="F325" s="2" t="s">
        <v>7</v>
      </c>
      <c r="G325" s="2" t="s">
        <v>55</v>
      </c>
      <c r="H325" s="11" t="n">
        <v>46253</v>
      </c>
      <c r="I325" s="11" t="n">
        <v>46259</v>
      </c>
      <c r="J325" s="2" t="n">
        <f aca="false">IF(I325="","",I325-H325)</f>
        <v>6</v>
      </c>
    </row>
    <row r="326" customFormat="false" ht="15" hidden="false" customHeight="false" outlineLevel="0" collapsed="false">
      <c r="A326" s="2" t="s">
        <v>530</v>
      </c>
      <c r="B326" s="2" t="s">
        <v>181</v>
      </c>
      <c r="C326" s="2" t="s">
        <v>58</v>
      </c>
      <c r="D326" s="2" t="s">
        <v>68</v>
      </c>
      <c r="E326" s="2" t="s">
        <v>15</v>
      </c>
      <c r="F326" s="2" t="s">
        <v>7</v>
      </c>
      <c r="G326" s="2" t="s">
        <v>55</v>
      </c>
      <c r="H326" s="11" t="n">
        <v>46290</v>
      </c>
      <c r="I326" s="11" t="n">
        <v>46294</v>
      </c>
      <c r="J326" s="2" t="n">
        <f aca="false">IF(I326="","",I326-H326)</f>
        <v>4</v>
      </c>
    </row>
    <row r="327" customFormat="false" ht="15" hidden="false" customHeight="false" outlineLevel="0" collapsed="false">
      <c r="A327" s="2" t="s">
        <v>531</v>
      </c>
      <c r="B327" s="2" t="s">
        <v>487</v>
      </c>
      <c r="C327" s="2" t="s">
        <v>58</v>
      </c>
      <c r="D327" s="2" t="s">
        <v>48</v>
      </c>
      <c r="E327" s="2" t="s">
        <v>15</v>
      </c>
      <c r="F327" s="2" t="s">
        <v>7</v>
      </c>
      <c r="G327" s="2" t="s">
        <v>55</v>
      </c>
      <c r="H327" s="11" t="n">
        <v>46239</v>
      </c>
      <c r="I327" s="11" t="n">
        <v>46241</v>
      </c>
      <c r="J327" s="2" t="n">
        <f aca="false">IF(I327="","",I327-H327)</f>
        <v>2</v>
      </c>
    </row>
    <row r="328" customFormat="false" ht="15" hidden="false" customHeight="false" outlineLevel="0" collapsed="false">
      <c r="A328" s="2" t="s">
        <v>532</v>
      </c>
      <c r="B328" s="2" t="s">
        <v>168</v>
      </c>
      <c r="C328" s="2" t="s">
        <v>40</v>
      </c>
      <c r="D328" s="2" t="s">
        <v>48</v>
      </c>
      <c r="E328" s="2" t="s">
        <v>15</v>
      </c>
      <c r="F328" s="2" t="s">
        <v>7</v>
      </c>
      <c r="G328" s="2" t="s">
        <v>55</v>
      </c>
      <c r="H328" s="11" t="n">
        <v>46291</v>
      </c>
      <c r="I328" s="11" t="n">
        <v>46295</v>
      </c>
      <c r="J328" s="2" t="n">
        <f aca="false">IF(I328="","",I328-H328)</f>
        <v>4</v>
      </c>
    </row>
    <row r="329" customFormat="false" ht="15" hidden="false" customHeight="false" outlineLevel="0" collapsed="false">
      <c r="A329" s="2" t="s">
        <v>533</v>
      </c>
      <c r="B329" s="2" t="s">
        <v>44</v>
      </c>
      <c r="C329" s="2" t="s">
        <v>54</v>
      </c>
      <c r="D329" s="2" t="s">
        <v>48</v>
      </c>
      <c r="E329" s="2" t="s">
        <v>17</v>
      </c>
      <c r="F329" s="2" t="s">
        <v>7</v>
      </c>
      <c r="G329" s="2" t="s">
        <v>49</v>
      </c>
      <c r="H329" s="11" t="n">
        <v>46223</v>
      </c>
      <c r="I329" s="11" t="n">
        <v>46232</v>
      </c>
      <c r="J329" s="2" t="n">
        <f aca="false">IF(I329="","",I329-H329)</f>
        <v>9</v>
      </c>
    </row>
    <row r="330" customFormat="false" ht="15" hidden="false" customHeight="false" outlineLevel="0" collapsed="false">
      <c r="A330" s="2" t="s">
        <v>534</v>
      </c>
      <c r="B330" s="2" t="s">
        <v>34</v>
      </c>
      <c r="C330" s="2" t="s">
        <v>58</v>
      </c>
      <c r="D330" s="2" t="s">
        <v>68</v>
      </c>
      <c r="E330" s="2" t="s">
        <v>17</v>
      </c>
      <c r="F330" s="2" t="s">
        <v>7</v>
      </c>
      <c r="G330" s="2" t="s">
        <v>37</v>
      </c>
      <c r="H330" s="11" t="n">
        <v>46242</v>
      </c>
      <c r="I330" s="11" t="n">
        <v>46251</v>
      </c>
      <c r="J330" s="2" t="n">
        <f aca="false">IF(I330="","",I330-H330)</f>
        <v>9</v>
      </c>
    </row>
    <row r="331" customFormat="false" ht="15" hidden="false" customHeight="false" outlineLevel="0" collapsed="false">
      <c r="A331" s="2" t="s">
        <v>535</v>
      </c>
      <c r="B331" s="2" t="s">
        <v>183</v>
      </c>
      <c r="C331" s="2" t="s">
        <v>58</v>
      </c>
      <c r="D331" s="2" t="s">
        <v>68</v>
      </c>
      <c r="E331" s="2" t="s">
        <v>16</v>
      </c>
      <c r="F331" s="2" t="s">
        <v>7</v>
      </c>
      <c r="G331" s="2" t="s">
        <v>49</v>
      </c>
      <c r="H331" s="11" t="n">
        <v>46304</v>
      </c>
      <c r="I331" s="11" t="n">
        <v>46305</v>
      </c>
      <c r="J331" s="2" t="n">
        <f aca="false">IF(I331="","",I331-H331)</f>
        <v>1</v>
      </c>
    </row>
    <row r="332" customFormat="false" ht="15" hidden="false" customHeight="false" outlineLevel="0" collapsed="false">
      <c r="A332" s="2" t="s">
        <v>536</v>
      </c>
      <c r="B332" s="2" t="s">
        <v>175</v>
      </c>
      <c r="C332" s="2" t="s">
        <v>40</v>
      </c>
      <c r="D332" s="2" t="s">
        <v>36</v>
      </c>
      <c r="E332" s="2" t="s">
        <v>15</v>
      </c>
      <c r="F332" s="2" t="s">
        <v>7</v>
      </c>
      <c r="G332" s="2" t="s">
        <v>55</v>
      </c>
      <c r="H332" s="11" t="n">
        <v>46256</v>
      </c>
      <c r="I332" s="11" t="n">
        <v>46257</v>
      </c>
      <c r="J332" s="2" t="n">
        <f aca="false">IF(I332="","",I332-H332)</f>
        <v>1</v>
      </c>
    </row>
    <row r="333" customFormat="false" ht="15" hidden="false" customHeight="false" outlineLevel="0" collapsed="false">
      <c r="A333" s="2" t="s">
        <v>537</v>
      </c>
      <c r="B333" s="2" t="s">
        <v>104</v>
      </c>
      <c r="C333" s="2" t="s">
        <v>58</v>
      </c>
      <c r="D333" s="2" t="s">
        <v>36</v>
      </c>
      <c r="E333" s="2" t="s">
        <v>16</v>
      </c>
      <c r="F333" s="2" t="s">
        <v>7</v>
      </c>
      <c r="G333" s="2" t="s">
        <v>37</v>
      </c>
      <c r="H333" s="11" t="n">
        <v>46264</v>
      </c>
      <c r="I333" s="11" t="n">
        <v>46271</v>
      </c>
      <c r="J333" s="2" t="n">
        <f aca="false">IF(I333="","",I333-H333)</f>
        <v>7</v>
      </c>
    </row>
    <row r="334" customFormat="false" ht="15" hidden="false" customHeight="false" outlineLevel="0" collapsed="false">
      <c r="A334" s="2" t="s">
        <v>538</v>
      </c>
      <c r="B334" s="2" t="s">
        <v>539</v>
      </c>
      <c r="C334" s="2" t="s">
        <v>54</v>
      </c>
      <c r="D334" s="2" t="s">
        <v>36</v>
      </c>
      <c r="E334" s="2" t="s">
        <v>15</v>
      </c>
      <c r="F334" s="2" t="s">
        <v>7</v>
      </c>
      <c r="G334" s="2" t="s">
        <v>37</v>
      </c>
      <c r="H334" s="11" t="n">
        <v>46289</v>
      </c>
      <c r="I334" s="11" t="n">
        <v>46295</v>
      </c>
      <c r="J334" s="2" t="n">
        <f aca="false">IF(I334="","",I334-H334)</f>
        <v>6</v>
      </c>
    </row>
    <row r="335" customFormat="false" ht="15" hidden="false" customHeight="false" outlineLevel="0" collapsed="false">
      <c r="A335" s="2" t="s">
        <v>540</v>
      </c>
      <c r="B335" s="2" t="s">
        <v>423</v>
      </c>
      <c r="C335" s="2" t="s">
        <v>35</v>
      </c>
      <c r="D335" s="2" t="s">
        <v>68</v>
      </c>
      <c r="E335" s="2" t="s">
        <v>15</v>
      </c>
      <c r="F335" s="2" t="s">
        <v>7</v>
      </c>
      <c r="G335" s="2" t="s">
        <v>55</v>
      </c>
      <c r="H335" s="11" t="n">
        <v>46245</v>
      </c>
      <c r="I335" s="11" t="n">
        <v>46249</v>
      </c>
      <c r="J335" s="2" t="n">
        <f aca="false">IF(I335="","",I335-H335)</f>
        <v>4</v>
      </c>
    </row>
    <row r="336" customFormat="false" ht="15" hidden="false" customHeight="false" outlineLevel="0" collapsed="false">
      <c r="A336" s="2" t="s">
        <v>541</v>
      </c>
      <c r="B336" s="2" t="s">
        <v>426</v>
      </c>
      <c r="C336" s="2" t="s">
        <v>40</v>
      </c>
      <c r="D336" s="2" t="s">
        <v>68</v>
      </c>
      <c r="E336" s="2" t="s">
        <v>16</v>
      </c>
      <c r="F336" s="2" t="s">
        <v>7</v>
      </c>
      <c r="G336" s="2" t="s">
        <v>49</v>
      </c>
      <c r="H336" s="11" t="n">
        <v>46305</v>
      </c>
      <c r="I336" s="11" t="n">
        <v>46317</v>
      </c>
      <c r="J336" s="2" t="n">
        <f aca="false">IF(I336="","",I336-H336)</f>
        <v>12</v>
      </c>
    </row>
    <row r="337" customFormat="false" ht="15" hidden="false" customHeight="false" outlineLevel="0" collapsed="false">
      <c r="A337" s="2" t="s">
        <v>542</v>
      </c>
      <c r="B337" s="2" t="s">
        <v>168</v>
      </c>
      <c r="C337" s="2" t="s">
        <v>58</v>
      </c>
      <c r="D337" s="2" t="s">
        <v>48</v>
      </c>
      <c r="E337" s="2" t="s">
        <v>15</v>
      </c>
      <c r="F337" s="2" t="s">
        <v>7</v>
      </c>
      <c r="G337" s="2" t="s">
        <v>49</v>
      </c>
      <c r="H337" s="11" t="n">
        <v>46219</v>
      </c>
      <c r="I337" s="11" t="n">
        <v>46227</v>
      </c>
      <c r="J337" s="2" t="n">
        <f aca="false">IF(I337="","",I337-H337)</f>
        <v>8</v>
      </c>
    </row>
    <row r="338" customFormat="false" ht="15" hidden="false" customHeight="false" outlineLevel="0" collapsed="false">
      <c r="A338" s="2" t="s">
        <v>543</v>
      </c>
      <c r="B338" s="2" t="s">
        <v>544</v>
      </c>
      <c r="C338" s="2" t="s">
        <v>58</v>
      </c>
      <c r="D338" s="2" t="s">
        <v>68</v>
      </c>
      <c r="E338" s="2" t="s">
        <v>16</v>
      </c>
      <c r="F338" s="2" t="s">
        <v>7</v>
      </c>
      <c r="G338" s="2" t="s">
        <v>55</v>
      </c>
      <c r="H338" s="11" t="n">
        <v>46305</v>
      </c>
      <c r="I338" s="11" t="n">
        <v>46307</v>
      </c>
      <c r="J338" s="2" t="n">
        <f aca="false">IF(I338="","",I338-H338)</f>
        <v>2</v>
      </c>
    </row>
    <row r="339" customFormat="false" ht="15" hidden="false" customHeight="false" outlineLevel="0" collapsed="false">
      <c r="A339" s="2" t="s">
        <v>545</v>
      </c>
      <c r="B339" s="2" t="s">
        <v>374</v>
      </c>
      <c r="C339" s="2" t="s">
        <v>58</v>
      </c>
      <c r="D339" s="2" t="s">
        <v>36</v>
      </c>
      <c r="E339" s="2" t="s">
        <v>15</v>
      </c>
      <c r="F339" s="2" t="s">
        <v>8</v>
      </c>
      <c r="G339" s="2" t="s">
        <v>42</v>
      </c>
      <c r="H339" s="11" t="n">
        <v>46286</v>
      </c>
      <c r="I339" s="11" t="n">
        <v>46297</v>
      </c>
      <c r="J339" s="2" t="n">
        <f aca="false">IF(I339="","",I339-H339)</f>
        <v>11</v>
      </c>
    </row>
    <row r="340" customFormat="false" ht="15" hidden="false" customHeight="false" outlineLevel="0" collapsed="false">
      <c r="A340" s="2" t="s">
        <v>546</v>
      </c>
      <c r="B340" s="2" t="s">
        <v>165</v>
      </c>
      <c r="C340" s="2" t="s">
        <v>45</v>
      </c>
      <c r="D340" s="2" t="s">
        <v>48</v>
      </c>
      <c r="E340" s="2" t="s">
        <v>16</v>
      </c>
      <c r="F340" s="2" t="s">
        <v>8</v>
      </c>
      <c r="G340" s="2" t="s">
        <v>49</v>
      </c>
      <c r="H340" s="11" t="n">
        <v>46238</v>
      </c>
      <c r="I340" s="11" t="n">
        <v>46242</v>
      </c>
      <c r="J340" s="2" t="n">
        <f aca="false">IF(I340="","",I340-H340)</f>
        <v>4</v>
      </c>
    </row>
    <row r="341" customFormat="false" ht="15" hidden="false" customHeight="false" outlineLevel="0" collapsed="false">
      <c r="A341" s="2" t="s">
        <v>547</v>
      </c>
      <c r="B341" s="2" t="s">
        <v>335</v>
      </c>
      <c r="C341" s="2" t="s">
        <v>45</v>
      </c>
      <c r="D341" s="2" t="s">
        <v>41</v>
      </c>
      <c r="E341" s="2" t="s">
        <v>15</v>
      </c>
      <c r="F341" s="2" t="s">
        <v>7</v>
      </c>
      <c r="G341" s="2" t="s">
        <v>42</v>
      </c>
      <c r="H341" s="11" t="n">
        <v>46273</v>
      </c>
      <c r="I341" s="11" t="n">
        <v>46275</v>
      </c>
      <c r="J341" s="2" t="n">
        <f aca="false">IF(I341="","",I341-H341)</f>
        <v>2</v>
      </c>
    </row>
    <row r="342" customFormat="false" ht="15" hidden="false" customHeight="false" outlineLevel="0" collapsed="false">
      <c r="A342" s="2" t="s">
        <v>548</v>
      </c>
      <c r="B342" s="2" t="s">
        <v>349</v>
      </c>
      <c r="C342" s="2" t="s">
        <v>35</v>
      </c>
      <c r="D342" s="2" t="s">
        <v>36</v>
      </c>
      <c r="E342" s="2" t="s">
        <v>15</v>
      </c>
      <c r="F342" s="2" t="s">
        <v>7</v>
      </c>
      <c r="G342" s="2" t="s">
        <v>55</v>
      </c>
      <c r="H342" s="11" t="n">
        <v>46251</v>
      </c>
      <c r="I342" s="11" t="n">
        <v>46263</v>
      </c>
      <c r="J342" s="2" t="n">
        <f aca="false">IF(I342="","",I342-H342)</f>
        <v>12</v>
      </c>
    </row>
    <row r="343" customFormat="false" ht="15" hidden="false" customHeight="false" outlineLevel="0" collapsed="false">
      <c r="A343" s="2" t="s">
        <v>549</v>
      </c>
      <c r="B343" s="2" t="s">
        <v>550</v>
      </c>
      <c r="C343" s="2" t="s">
        <v>35</v>
      </c>
      <c r="D343" s="2" t="s">
        <v>48</v>
      </c>
      <c r="E343" s="2" t="s">
        <v>16</v>
      </c>
      <c r="F343" s="2" t="s">
        <v>7</v>
      </c>
      <c r="G343" s="2" t="s">
        <v>37</v>
      </c>
      <c r="H343" s="11" t="n">
        <v>46289</v>
      </c>
      <c r="I343" s="11" t="n">
        <v>46290</v>
      </c>
      <c r="J343" s="2" t="n">
        <f aca="false">IF(I343="","",I343-H343)</f>
        <v>1</v>
      </c>
    </row>
    <row r="344" customFormat="false" ht="15" hidden="false" customHeight="false" outlineLevel="0" collapsed="false">
      <c r="A344" s="2" t="s">
        <v>551</v>
      </c>
      <c r="B344" s="2" t="s">
        <v>491</v>
      </c>
      <c r="C344" s="2" t="s">
        <v>54</v>
      </c>
      <c r="D344" s="2" t="s">
        <v>68</v>
      </c>
      <c r="E344" s="2" t="s">
        <v>17</v>
      </c>
      <c r="F344" s="2" t="s">
        <v>8</v>
      </c>
      <c r="G344" s="2" t="s">
        <v>37</v>
      </c>
      <c r="H344" s="11" t="n">
        <v>46221</v>
      </c>
      <c r="I344" s="11" t="n">
        <v>46228</v>
      </c>
      <c r="J344" s="2" t="n">
        <f aca="false">IF(I344="","",I344-H344)</f>
        <v>7</v>
      </c>
    </row>
    <row r="345" customFormat="false" ht="15" hidden="false" customHeight="false" outlineLevel="0" collapsed="false">
      <c r="A345" s="2" t="s">
        <v>552</v>
      </c>
      <c r="B345" s="2" t="s">
        <v>307</v>
      </c>
      <c r="C345" s="2" t="s">
        <v>40</v>
      </c>
      <c r="D345" s="2" t="s">
        <v>41</v>
      </c>
      <c r="E345" s="2" t="s">
        <v>15</v>
      </c>
      <c r="F345" s="2" t="s">
        <v>8</v>
      </c>
      <c r="G345" s="2" t="s">
        <v>37</v>
      </c>
      <c r="H345" s="11" t="n">
        <v>46310</v>
      </c>
      <c r="I345" s="11" t="n">
        <v>46311</v>
      </c>
      <c r="J345" s="2" t="n">
        <f aca="false">IF(I345="","",I345-H345)</f>
        <v>1</v>
      </c>
    </row>
    <row r="346" customFormat="false" ht="15" hidden="false" customHeight="false" outlineLevel="0" collapsed="false">
      <c r="A346" s="2" t="s">
        <v>553</v>
      </c>
      <c r="B346" s="2" t="s">
        <v>341</v>
      </c>
      <c r="C346" s="2" t="s">
        <v>40</v>
      </c>
      <c r="D346" s="2" t="s">
        <v>68</v>
      </c>
      <c r="E346" s="2" t="s">
        <v>15</v>
      </c>
      <c r="F346" s="2" t="s">
        <v>7</v>
      </c>
      <c r="G346" s="2" t="s">
        <v>42</v>
      </c>
      <c r="H346" s="11" t="n">
        <v>46300</v>
      </c>
      <c r="I346" s="11" t="n">
        <v>46306</v>
      </c>
      <c r="J346" s="2" t="n">
        <f aca="false">IF(I346="","",I346-H346)</f>
        <v>6</v>
      </c>
    </row>
    <row r="347" customFormat="false" ht="15" hidden="false" customHeight="false" outlineLevel="0" collapsed="false">
      <c r="A347" s="2" t="s">
        <v>554</v>
      </c>
      <c r="B347" s="2" t="s">
        <v>493</v>
      </c>
      <c r="C347" s="2" t="s">
        <v>35</v>
      </c>
      <c r="D347" s="2" t="s">
        <v>48</v>
      </c>
      <c r="E347" s="2" t="s">
        <v>15</v>
      </c>
      <c r="F347" s="2" t="s">
        <v>7</v>
      </c>
      <c r="G347" s="2" t="s">
        <v>42</v>
      </c>
      <c r="H347" s="11" t="n">
        <v>46229</v>
      </c>
      <c r="I347" s="11" t="n">
        <v>46233</v>
      </c>
      <c r="J347" s="2" t="n">
        <f aca="false">IF(I347="","",I347-H347)</f>
        <v>4</v>
      </c>
    </row>
    <row r="348" customFormat="false" ht="15" hidden="false" customHeight="false" outlineLevel="0" collapsed="false">
      <c r="A348" s="2" t="s">
        <v>555</v>
      </c>
      <c r="B348" s="2" t="s">
        <v>44</v>
      </c>
      <c r="C348" s="2" t="s">
        <v>54</v>
      </c>
      <c r="D348" s="2" t="s">
        <v>48</v>
      </c>
      <c r="E348" s="2" t="s">
        <v>15</v>
      </c>
      <c r="F348" s="2" t="s">
        <v>8</v>
      </c>
      <c r="G348" s="2" t="s">
        <v>42</v>
      </c>
      <c r="H348" s="11" t="n">
        <v>46270</v>
      </c>
      <c r="I348" s="11" t="n">
        <v>46279</v>
      </c>
      <c r="J348" s="2" t="n">
        <f aca="false">IF(I348="","",I348-H348)</f>
        <v>9</v>
      </c>
    </row>
    <row r="349" customFormat="false" ht="15" hidden="false" customHeight="false" outlineLevel="0" collapsed="false">
      <c r="A349" s="2" t="s">
        <v>556</v>
      </c>
      <c r="B349" s="2" t="s">
        <v>318</v>
      </c>
      <c r="C349" s="2" t="s">
        <v>54</v>
      </c>
      <c r="D349" s="2" t="s">
        <v>68</v>
      </c>
      <c r="E349" s="2" t="s">
        <v>15</v>
      </c>
      <c r="F349" s="2" t="s">
        <v>7</v>
      </c>
      <c r="G349" s="2" t="s">
        <v>49</v>
      </c>
      <c r="H349" s="11" t="n">
        <v>46216</v>
      </c>
      <c r="I349" s="11" t="n">
        <v>46225</v>
      </c>
      <c r="J349" s="2" t="n">
        <f aca="false">IF(I349="","",I349-H349)</f>
        <v>9</v>
      </c>
    </row>
    <row r="350" customFormat="false" ht="15" hidden="false" customHeight="false" outlineLevel="0" collapsed="false">
      <c r="A350" s="2" t="s">
        <v>557</v>
      </c>
      <c r="B350" s="2" t="s">
        <v>168</v>
      </c>
      <c r="C350" s="2" t="s">
        <v>40</v>
      </c>
      <c r="D350" s="2" t="s">
        <v>68</v>
      </c>
      <c r="E350" s="2" t="s">
        <v>15</v>
      </c>
      <c r="F350" s="2" t="s">
        <v>8</v>
      </c>
      <c r="G350" s="2" t="s">
        <v>55</v>
      </c>
      <c r="H350" s="11" t="n">
        <v>46278</v>
      </c>
      <c r="I350" s="11" t="n">
        <v>46287</v>
      </c>
      <c r="J350" s="2" t="n">
        <f aca="false">IF(I350="","",I350-H350)</f>
        <v>9</v>
      </c>
    </row>
    <row r="351" customFormat="false" ht="15" hidden="false" customHeight="false" outlineLevel="0" collapsed="false">
      <c r="A351" s="2" t="s">
        <v>558</v>
      </c>
      <c r="B351" s="2" t="s">
        <v>466</v>
      </c>
      <c r="C351" s="2" t="s">
        <v>45</v>
      </c>
      <c r="D351" s="2" t="s">
        <v>48</v>
      </c>
      <c r="E351" s="2" t="s">
        <v>15</v>
      </c>
      <c r="F351" s="2" t="s">
        <v>7</v>
      </c>
      <c r="G351" s="2" t="s">
        <v>42</v>
      </c>
      <c r="H351" s="11" t="n">
        <v>46215</v>
      </c>
      <c r="I351" s="11" t="n">
        <v>46217</v>
      </c>
      <c r="J351" s="2" t="n">
        <f aca="false">IF(I351="","",I351-H351)</f>
        <v>2</v>
      </c>
    </row>
    <row r="352" customFormat="false" ht="15" hidden="false" customHeight="false" outlineLevel="0" collapsed="false">
      <c r="A352" s="2" t="s">
        <v>559</v>
      </c>
      <c r="B352" s="2" t="s">
        <v>476</v>
      </c>
      <c r="C352" s="2" t="s">
        <v>45</v>
      </c>
      <c r="D352" s="2" t="s">
        <v>68</v>
      </c>
      <c r="E352" s="2" t="s">
        <v>17</v>
      </c>
      <c r="F352" s="2" t="s">
        <v>7</v>
      </c>
      <c r="G352" s="2" t="s">
        <v>55</v>
      </c>
      <c r="H352" s="11" t="n">
        <v>46310</v>
      </c>
      <c r="I352" s="11" t="n">
        <v>46314</v>
      </c>
      <c r="J352" s="2" t="n">
        <f aca="false">IF(I352="","",I352-H352)</f>
        <v>4</v>
      </c>
    </row>
    <row r="353" customFormat="false" ht="15" hidden="false" customHeight="false" outlineLevel="0" collapsed="false">
      <c r="A353" s="2" t="s">
        <v>560</v>
      </c>
      <c r="B353" s="2" t="s">
        <v>192</v>
      </c>
      <c r="C353" s="2" t="s">
        <v>45</v>
      </c>
      <c r="D353" s="2" t="s">
        <v>36</v>
      </c>
      <c r="E353" s="2" t="s">
        <v>15</v>
      </c>
      <c r="F353" s="2" t="s">
        <v>7</v>
      </c>
      <c r="G353" s="2" t="s">
        <v>55</v>
      </c>
      <c r="H353" s="11" t="n">
        <v>46213</v>
      </c>
      <c r="I353" s="11" t="n">
        <v>46220</v>
      </c>
      <c r="J353" s="2" t="n">
        <f aca="false">IF(I353="","",I353-H353)</f>
        <v>7</v>
      </c>
    </row>
    <row r="354" customFormat="false" ht="15" hidden="false" customHeight="false" outlineLevel="0" collapsed="false">
      <c r="A354" s="2" t="s">
        <v>561</v>
      </c>
      <c r="B354" s="2" t="s">
        <v>119</v>
      </c>
      <c r="C354" s="2" t="s">
        <v>35</v>
      </c>
      <c r="D354" s="2" t="s">
        <v>68</v>
      </c>
      <c r="E354" s="2" t="s">
        <v>16</v>
      </c>
      <c r="F354" s="2" t="s">
        <v>8</v>
      </c>
      <c r="G354" s="2" t="s">
        <v>49</v>
      </c>
      <c r="H354" s="11" t="n">
        <v>46220</v>
      </c>
      <c r="I354" s="11" t="n">
        <v>46231</v>
      </c>
      <c r="J354" s="2" t="n">
        <f aca="false">IF(I354="","",I354-H354)</f>
        <v>11</v>
      </c>
    </row>
    <row r="355" customFormat="false" ht="15" hidden="false" customHeight="false" outlineLevel="0" collapsed="false">
      <c r="A355" s="2" t="s">
        <v>562</v>
      </c>
      <c r="B355" s="2" t="s">
        <v>563</v>
      </c>
      <c r="C355" s="2" t="s">
        <v>58</v>
      </c>
      <c r="D355" s="2" t="s">
        <v>68</v>
      </c>
      <c r="E355" s="2" t="s">
        <v>17</v>
      </c>
      <c r="F355" s="2" t="s">
        <v>7</v>
      </c>
      <c r="G355" s="2" t="s">
        <v>49</v>
      </c>
      <c r="H355" s="11" t="n">
        <v>46228</v>
      </c>
      <c r="I355" s="11" t="n">
        <v>46238</v>
      </c>
      <c r="J355" s="2" t="n">
        <f aca="false">IF(I355="","",I355-H355)</f>
        <v>10</v>
      </c>
    </row>
    <row r="356" customFormat="false" ht="15" hidden="false" customHeight="false" outlineLevel="0" collapsed="false">
      <c r="A356" s="2" t="s">
        <v>564</v>
      </c>
      <c r="B356" s="2" t="s">
        <v>489</v>
      </c>
      <c r="C356" s="2" t="s">
        <v>40</v>
      </c>
      <c r="D356" s="2" t="s">
        <v>68</v>
      </c>
      <c r="E356" s="2" t="s">
        <v>15</v>
      </c>
      <c r="F356" s="2" t="s">
        <v>7</v>
      </c>
      <c r="G356" s="2" t="s">
        <v>42</v>
      </c>
      <c r="H356" s="11" t="n">
        <v>46274</v>
      </c>
      <c r="I356" s="11" t="n">
        <v>46285</v>
      </c>
      <c r="J356" s="2" t="n">
        <f aca="false">IF(I356="","",I356-H356)</f>
        <v>11</v>
      </c>
    </row>
    <row r="357" customFormat="false" ht="15" hidden="false" customHeight="false" outlineLevel="0" collapsed="false">
      <c r="A357" s="2" t="s">
        <v>565</v>
      </c>
      <c r="B357" s="2" t="s">
        <v>181</v>
      </c>
      <c r="C357" s="2" t="s">
        <v>45</v>
      </c>
      <c r="D357" s="2" t="s">
        <v>68</v>
      </c>
      <c r="E357" s="2" t="s">
        <v>17</v>
      </c>
      <c r="F357" s="2" t="s">
        <v>7</v>
      </c>
      <c r="G357" s="2" t="s">
        <v>49</v>
      </c>
      <c r="H357" s="11" t="n">
        <v>46211</v>
      </c>
      <c r="I357" s="11" t="n">
        <v>46213</v>
      </c>
      <c r="J357" s="2" t="n">
        <f aca="false">IF(I357="","",I357-H357)</f>
        <v>2</v>
      </c>
    </row>
    <row r="358" customFormat="false" ht="15" hidden="false" customHeight="false" outlineLevel="0" collapsed="false">
      <c r="A358" s="2" t="s">
        <v>566</v>
      </c>
      <c r="B358" s="2" t="s">
        <v>315</v>
      </c>
      <c r="C358" s="2" t="s">
        <v>58</v>
      </c>
      <c r="D358" s="2" t="s">
        <v>68</v>
      </c>
      <c r="E358" s="2" t="s">
        <v>15</v>
      </c>
      <c r="F358" s="2" t="s">
        <v>7</v>
      </c>
      <c r="G358" s="2" t="s">
        <v>37</v>
      </c>
      <c r="H358" s="11" t="n">
        <v>46307</v>
      </c>
      <c r="I358" s="11" t="n">
        <v>46319</v>
      </c>
      <c r="J358" s="2" t="n">
        <f aca="false">IF(I358="","",I358-H358)</f>
        <v>12</v>
      </c>
    </row>
    <row r="359" customFormat="false" ht="15" hidden="false" customHeight="false" outlineLevel="0" collapsed="false">
      <c r="A359" s="2" t="s">
        <v>567</v>
      </c>
      <c r="B359" s="2" t="s">
        <v>212</v>
      </c>
      <c r="C359" s="2" t="s">
        <v>54</v>
      </c>
      <c r="D359" s="2" t="s">
        <v>48</v>
      </c>
      <c r="E359" s="2" t="s">
        <v>15</v>
      </c>
      <c r="F359" s="2" t="s">
        <v>7</v>
      </c>
      <c r="G359" s="2" t="s">
        <v>37</v>
      </c>
      <c r="H359" s="11" t="n">
        <v>46288</v>
      </c>
      <c r="I359" s="11" t="n">
        <v>46293</v>
      </c>
      <c r="J359" s="2" t="n">
        <f aca="false">IF(I359="","",I359-H359)</f>
        <v>5</v>
      </c>
    </row>
    <row r="360" customFormat="false" ht="15" hidden="false" customHeight="false" outlineLevel="0" collapsed="false">
      <c r="A360" s="2" t="s">
        <v>568</v>
      </c>
      <c r="B360" s="2" t="s">
        <v>569</v>
      </c>
      <c r="C360" s="2" t="s">
        <v>54</v>
      </c>
      <c r="D360" s="2" t="s">
        <v>68</v>
      </c>
      <c r="E360" s="2" t="s">
        <v>15</v>
      </c>
      <c r="F360" s="2" t="s">
        <v>7</v>
      </c>
      <c r="G360" s="2" t="s">
        <v>55</v>
      </c>
      <c r="H360" s="11" t="n">
        <v>46288</v>
      </c>
      <c r="I360" s="11" t="n">
        <v>46300</v>
      </c>
      <c r="J360" s="2" t="n">
        <f aca="false">IF(I360="","",I360-H360)</f>
        <v>12</v>
      </c>
    </row>
    <row r="361" customFormat="false" ht="15" hidden="false" customHeight="false" outlineLevel="0" collapsed="false">
      <c r="A361" s="2" t="s">
        <v>570</v>
      </c>
      <c r="B361" s="2" t="s">
        <v>254</v>
      </c>
      <c r="C361" s="2" t="s">
        <v>45</v>
      </c>
      <c r="D361" s="2" t="s">
        <v>48</v>
      </c>
      <c r="E361" s="2" t="s">
        <v>15</v>
      </c>
      <c r="F361" s="2" t="s">
        <v>7</v>
      </c>
      <c r="G361" s="2" t="s">
        <v>55</v>
      </c>
      <c r="H361" s="11" t="n">
        <v>46216</v>
      </c>
      <c r="I361" s="11" t="n">
        <v>46228</v>
      </c>
      <c r="J361" s="2" t="n">
        <f aca="false">IF(I361="","",I361-H361)</f>
        <v>12</v>
      </c>
    </row>
    <row r="362" customFormat="false" ht="15" hidden="false" customHeight="false" outlineLevel="0" collapsed="false">
      <c r="A362" s="2" t="s">
        <v>571</v>
      </c>
      <c r="B362" s="2" t="s">
        <v>245</v>
      </c>
      <c r="C362" s="2" t="s">
        <v>45</v>
      </c>
      <c r="D362" s="2" t="s">
        <v>36</v>
      </c>
      <c r="E362" s="2" t="s">
        <v>15</v>
      </c>
      <c r="F362" s="2" t="s">
        <v>7</v>
      </c>
      <c r="G362" s="2" t="s">
        <v>37</v>
      </c>
      <c r="H362" s="11" t="n">
        <v>46315</v>
      </c>
      <c r="I362" s="11" t="n">
        <v>46319</v>
      </c>
      <c r="J362" s="2" t="n">
        <f aca="false">IF(I362="","",I362-H362)</f>
        <v>4</v>
      </c>
    </row>
    <row r="363" customFormat="false" ht="15" hidden="false" customHeight="false" outlineLevel="0" collapsed="false">
      <c r="A363" s="2" t="s">
        <v>572</v>
      </c>
      <c r="B363" s="2" t="s">
        <v>112</v>
      </c>
      <c r="C363" s="2" t="s">
        <v>54</v>
      </c>
      <c r="D363" s="2" t="s">
        <v>68</v>
      </c>
      <c r="E363" s="2" t="s">
        <v>15</v>
      </c>
      <c r="F363" s="2" t="s">
        <v>8</v>
      </c>
      <c r="G363" s="2" t="s">
        <v>42</v>
      </c>
      <c r="H363" s="11" t="n">
        <v>46239</v>
      </c>
      <c r="I363" s="11" t="n">
        <v>46245</v>
      </c>
      <c r="J363" s="2" t="n">
        <f aca="false">IF(I363="","",I363-H363)</f>
        <v>6</v>
      </c>
    </row>
    <row r="364" customFormat="false" ht="15" hidden="false" customHeight="false" outlineLevel="0" collapsed="false">
      <c r="A364" s="2" t="s">
        <v>573</v>
      </c>
      <c r="B364" s="2" t="s">
        <v>254</v>
      </c>
      <c r="C364" s="2" t="s">
        <v>54</v>
      </c>
      <c r="D364" s="2" t="s">
        <v>41</v>
      </c>
      <c r="E364" s="2" t="s">
        <v>15</v>
      </c>
      <c r="F364" s="2" t="s">
        <v>6</v>
      </c>
      <c r="G364" s="2" t="s">
        <v>42</v>
      </c>
      <c r="H364" s="11" t="n">
        <v>46320</v>
      </c>
      <c r="I364" s="11"/>
      <c r="J364" s="2" t="str">
        <f aca="false">IF(I364="","",I364-H364)</f>
        <v/>
      </c>
    </row>
    <row r="365" customFormat="false" ht="15" hidden="false" customHeight="false" outlineLevel="0" collapsed="false">
      <c r="A365" s="2" t="s">
        <v>574</v>
      </c>
      <c r="B365" s="2" t="s">
        <v>575</v>
      </c>
      <c r="C365" s="2" t="s">
        <v>40</v>
      </c>
      <c r="D365" s="2" t="s">
        <v>36</v>
      </c>
      <c r="E365" s="2" t="s">
        <v>17</v>
      </c>
      <c r="F365" s="2" t="s">
        <v>8</v>
      </c>
      <c r="G365" s="2" t="s">
        <v>37</v>
      </c>
      <c r="H365" s="11" t="n">
        <v>46255</v>
      </c>
      <c r="I365" s="11" t="n">
        <v>46264</v>
      </c>
      <c r="J365" s="2" t="n">
        <f aca="false">IF(I365="","",I365-H365)</f>
        <v>9</v>
      </c>
    </row>
    <row r="366" customFormat="false" ht="15" hidden="false" customHeight="false" outlineLevel="0" collapsed="false">
      <c r="A366" s="2" t="s">
        <v>576</v>
      </c>
      <c r="B366" s="2" t="s">
        <v>276</v>
      </c>
      <c r="C366" s="2" t="s">
        <v>58</v>
      </c>
      <c r="D366" s="2" t="s">
        <v>68</v>
      </c>
      <c r="E366" s="2" t="s">
        <v>15</v>
      </c>
      <c r="F366" s="2" t="s">
        <v>7</v>
      </c>
      <c r="G366" s="2" t="s">
        <v>42</v>
      </c>
      <c r="H366" s="11" t="n">
        <v>46295</v>
      </c>
      <c r="I366" s="11" t="n">
        <v>46298</v>
      </c>
      <c r="J366" s="2" t="n">
        <f aca="false">IF(I366="","",I366-H366)</f>
        <v>3</v>
      </c>
    </row>
    <row r="367" customFormat="false" ht="15" hidden="false" customHeight="false" outlineLevel="0" collapsed="false">
      <c r="A367" s="2" t="s">
        <v>577</v>
      </c>
      <c r="B367" s="2" t="s">
        <v>135</v>
      </c>
      <c r="C367" s="2" t="s">
        <v>40</v>
      </c>
      <c r="D367" s="2" t="s">
        <v>36</v>
      </c>
      <c r="E367" s="2" t="s">
        <v>15</v>
      </c>
      <c r="F367" s="2" t="s">
        <v>8</v>
      </c>
      <c r="G367" s="2" t="s">
        <v>42</v>
      </c>
      <c r="H367" s="11" t="n">
        <v>46299</v>
      </c>
      <c r="I367" s="11" t="n">
        <v>46311</v>
      </c>
      <c r="J367" s="2" t="n">
        <f aca="false">IF(I367="","",I367-H367)</f>
        <v>12</v>
      </c>
    </row>
    <row r="368" customFormat="false" ht="15" hidden="false" customHeight="false" outlineLevel="0" collapsed="false">
      <c r="A368" s="2" t="s">
        <v>578</v>
      </c>
      <c r="B368" s="2" t="s">
        <v>250</v>
      </c>
      <c r="C368" s="2" t="s">
        <v>45</v>
      </c>
      <c r="D368" s="2" t="s">
        <v>48</v>
      </c>
      <c r="E368" s="2" t="s">
        <v>16</v>
      </c>
      <c r="F368" s="2" t="s">
        <v>7</v>
      </c>
      <c r="G368" s="2" t="s">
        <v>49</v>
      </c>
      <c r="H368" s="11" t="n">
        <v>46232</v>
      </c>
      <c r="I368" s="11" t="n">
        <v>46238</v>
      </c>
      <c r="J368" s="2" t="n">
        <f aca="false">IF(I368="","",I368-H368)</f>
        <v>6</v>
      </c>
    </row>
    <row r="369" customFormat="false" ht="15" hidden="false" customHeight="false" outlineLevel="0" collapsed="false">
      <c r="A369" s="2" t="s">
        <v>579</v>
      </c>
      <c r="B369" s="2" t="s">
        <v>151</v>
      </c>
      <c r="C369" s="2" t="s">
        <v>54</v>
      </c>
      <c r="D369" s="2" t="s">
        <v>48</v>
      </c>
      <c r="E369" s="2" t="s">
        <v>15</v>
      </c>
      <c r="F369" s="2" t="s">
        <v>7</v>
      </c>
      <c r="G369" s="2" t="s">
        <v>37</v>
      </c>
      <c r="H369" s="11" t="n">
        <v>46227</v>
      </c>
      <c r="I369" s="11" t="n">
        <v>46237</v>
      </c>
      <c r="J369" s="2" t="n">
        <f aca="false">IF(I369="","",I369-H369)</f>
        <v>10</v>
      </c>
    </row>
    <row r="370" customFormat="false" ht="15" hidden="false" customHeight="false" outlineLevel="0" collapsed="false">
      <c r="A370" s="2" t="s">
        <v>580</v>
      </c>
      <c r="B370" s="2" t="s">
        <v>581</v>
      </c>
      <c r="C370" s="2" t="s">
        <v>54</v>
      </c>
      <c r="D370" s="2" t="s">
        <v>68</v>
      </c>
      <c r="E370" s="2" t="s">
        <v>15</v>
      </c>
      <c r="F370" s="2" t="s">
        <v>7</v>
      </c>
      <c r="G370" s="2" t="s">
        <v>37</v>
      </c>
      <c r="H370" s="11" t="n">
        <v>46206</v>
      </c>
      <c r="I370" s="11" t="n">
        <v>46213</v>
      </c>
      <c r="J370" s="2" t="n">
        <f aca="false">IF(I370="","",I370-H370)</f>
        <v>7</v>
      </c>
    </row>
    <row r="371" customFormat="false" ht="15" hidden="false" customHeight="false" outlineLevel="0" collapsed="false">
      <c r="A371" s="2" t="s">
        <v>582</v>
      </c>
      <c r="B371" s="2" t="s">
        <v>223</v>
      </c>
      <c r="C371" s="2" t="s">
        <v>54</v>
      </c>
      <c r="D371" s="2" t="s">
        <v>68</v>
      </c>
      <c r="E371" s="2" t="s">
        <v>16</v>
      </c>
      <c r="F371" s="2" t="s">
        <v>7</v>
      </c>
      <c r="G371" s="2" t="s">
        <v>49</v>
      </c>
      <c r="H371" s="11" t="n">
        <v>46297</v>
      </c>
      <c r="I371" s="11" t="n">
        <v>46298</v>
      </c>
      <c r="J371" s="2" t="n">
        <f aca="false">IF(I371="","",I371-H371)</f>
        <v>1</v>
      </c>
    </row>
    <row r="372" customFormat="false" ht="15" hidden="false" customHeight="false" outlineLevel="0" collapsed="false">
      <c r="A372" s="2" t="s">
        <v>583</v>
      </c>
      <c r="B372" s="2" t="s">
        <v>462</v>
      </c>
      <c r="C372" s="2" t="s">
        <v>35</v>
      </c>
      <c r="D372" s="2" t="s">
        <v>48</v>
      </c>
      <c r="E372" s="2" t="s">
        <v>15</v>
      </c>
      <c r="F372" s="2" t="s">
        <v>7</v>
      </c>
      <c r="G372" s="2" t="s">
        <v>42</v>
      </c>
      <c r="H372" s="11" t="n">
        <v>46291</v>
      </c>
      <c r="I372" s="11" t="n">
        <v>46293</v>
      </c>
      <c r="J372" s="2" t="n">
        <f aca="false">IF(I372="","",I372-H372)</f>
        <v>2</v>
      </c>
    </row>
    <row r="373" customFormat="false" ht="15" hidden="false" customHeight="false" outlineLevel="0" collapsed="false">
      <c r="A373" s="2" t="s">
        <v>584</v>
      </c>
      <c r="B373" s="2" t="s">
        <v>426</v>
      </c>
      <c r="C373" s="2" t="s">
        <v>40</v>
      </c>
      <c r="D373" s="2" t="s">
        <v>48</v>
      </c>
      <c r="E373" s="2" t="s">
        <v>15</v>
      </c>
      <c r="F373" s="2" t="s">
        <v>8</v>
      </c>
      <c r="G373" s="2" t="s">
        <v>49</v>
      </c>
      <c r="H373" s="11" t="n">
        <v>46284</v>
      </c>
      <c r="I373" s="11" t="n">
        <v>46286</v>
      </c>
      <c r="J373" s="2" t="n">
        <f aca="false">IF(I373="","",I373-H373)</f>
        <v>2</v>
      </c>
    </row>
    <row r="374" customFormat="false" ht="15" hidden="false" customHeight="false" outlineLevel="0" collapsed="false">
      <c r="A374" s="2" t="s">
        <v>585</v>
      </c>
      <c r="B374" s="2" t="s">
        <v>374</v>
      </c>
      <c r="C374" s="2" t="s">
        <v>45</v>
      </c>
      <c r="D374" s="2" t="s">
        <v>36</v>
      </c>
      <c r="E374" s="2" t="s">
        <v>17</v>
      </c>
      <c r="F374" s="2" t="s">
        <v>8</v>
      </c>
      <c r="G374" s="2" t="s">
        <v>42</v>
      </c>
      <c r="H374" s="11" t="n">
        <v>46252</v>
      </c>
      <c r="I374" s="11" t="n">
        <v>46255</v>
      </c>
      <c r="J374" s="2" t="n">
        <f aca="false">IF(I374="","",I374-H374)</f>
        <v>3</v>
      </c>
    </row>
    <row r="375" customFormat="false" ht="15" hidden="false" customHeight="false" outlineLevel="0" collapsed="false">
      <c r="A375" s="2" t="s">
        <v>586</v>
      </c>
      <c r="B375" s="2" t="s">
        <v>504</v>
      </c>
      <c r="C375" s="2" t="s">
        <v>54</v>
      </c>
      <c r="D375" s="2" t="s">
        <v>68</v>
      </c>
      <c r="E375" s="2" t="s">
        <v>16</v>
      </c>
      <c r="F375" s="2" t="s">
        <v>8</v>
      </c>
      <c r="G375" s="2" t="s">
        <v>37</v>
      </c>
      <c r="H375" s="11" t="n">
        <v>46258</v>
      </c>
      <c r="I375" s="11" t="n">
        <v>46269</v>
      </c>
      <c r="J375" s="2" t="n">
        <f aca="false">IF(I375="","",I375-H375)</f>
        <v>11</v>
      </c>
    </row>
    <row r="376" customFormat="false" ht="15" hidden="false" customHeight="false" outlineLevel="0" collapsed="false">
      <c r="A376" s="2" t="s">
        <v>587</v>
      </c>
      <c r="B376" s="2" t="s">
        <v>588</v>
      </c>
      <c r="C376" s="2" t="s">
        <v>40</v>
      </c>
      <c r="D376" s="2" t="s">
        <v>48</v>
      </c>
      <c r="E376" s="2" t="s">
        <v>17</v>
      </c>
      <c r="F376" s="2" t="s">
        <v>7</v>
      </c>
      <c r="G376" s="2" t="s">
        <v>37</v>
      </c>
      <c r="H376" s="11" t="n">
        <v>46311</v>
      </c>
      <c r="I376" s="11" t="n">
        <v>46315</v>
      </c>
      <c r="J376" s="2" t="n">
        <f aca="false">IF(I376="","",I376-H376)</f>
        <v>4</v>
      </c>
    </row>
    <row r="377" customFormat="false" ht="15" hidden="false" customHeight="false" outlineLevel="0" collapsed="false">
      <c r="A377" s="2" t="s">
        <v>589</v>
      </c>
      <c r="B377" s="2" t="s">
        <v>590</v>
      </c>
      <c r="C377" s="2" t="s">
        <v>54</v>
      </c>
      <c r="D377" s="2" t="s">
        <v>36</v>
      </c>
      <c r="E377" s="2" t="s">
        <v>15</v>
      </c>
      <c r="F377" s="2" t="s">
        <v>8</v>
      </c>
      <c r="G377" s="2" t="s">
        <v>42</v>
      </c>
      <c r="H377" s="11" t="n">
        <v>46276</v>
      </c>
      <c r="I377" s="11" t="n">
        <v>46286</v>
      </c>
      <c r="J377" s="2" t="n">
        <f aca="false">IF(I377="","",I377-H377)</f>
        <v>10</v>
      </c>
    </row>
    <row r="378" customFormat="false" ht="15" hidden="false" customHeight="false" outlineLevel="0" collapsed="false">
      <c r="A378" s="2" t="s">
        <v>591</v>
      </c>
      <c r="B378" s="2" t="s">
        <v>44</v>
      </c>
      <c r="C378" s="2" t="s">
        <v>35</v>
      </c>
      <c r="D378" s="2" t="s">
        <v>48</v>
      </c>
      <c r="E378" s="2" t="s">
        <v>15</v>
      </c>
      <c r="F378" s="2" t="s">
        <v>7</v>
      </c>
      <c r="G378" s="2" t="s">
        <v>37</v>
      </c>
      <c r="H378" s="11" t="n">
        <v>46263</v>
      </c>
      <c r="I378" s="11" t="n">
        <v>46266</v>
      </c>
      <c r="J378" s="2" t="n">
        <f aca="false">IF(I378="","",I378-H378)</f>
        <v>3</v>
      </c>
    </row>
    <row r="379" customFormat="false" ht="15" hidden="false" customHeight="false" outlineLevel="0" collapsed="false">
      <c r="A379" s="2" t="s">
        <v>592</v>
      </c>
      <c r="B379" s="2" t="s">
        <v>82</v>
      </c>
      <c r="C379" s="2" t="s">
        <v>54</v>
      </c>
      <c r="D379" s="2" t="s">
        <v>36</v>
      </c>
      <c r="E379" s="2" t="s">
        <v>15</v>
      </c>
      <c r="F379" s="2" t="s">
        <v>7</v>
      </c>
      <c r="G379" s="2" t="s">
        <v>55</v>
      </c>
      <c r="H379" s="11" t="n">
        <v>46302</v>
      </c>
      <c r="I379" s="11" t="n">
        <v>46308</v>
      </c>
      <c r="J379" s="2" t="n">
        <f aca="false">IF(I379="","",I379-H379)</f>
        <v>6</v>
      </c>
    </row>
    <row r="380" customFormat="false" ht="15" hidden="false" customHeight="false" outlineLevel="0" collapsed="false">
      <c r="A380" s="2" t="s">
        <v>593</v>
      </c>
      <c r="B380" s="2" t="s">
        <v>72</v>
      </c>
      <c r="C380" s="2" t="s">
        <v>58</v>
      </c>
      <c r="D380" s="2" t="s">
        <v>41</v>
      </c>
      <c r="E380" s="2" t="s">
        <v>15</v>
      </c>
      <c r="F380" s="2" t="s">
        <v>7</v>
      </c>
      <c r="G380" s="2" t="s">
        <v>42</v>
      </c>
      <c r="H380" s="11" t="n">
        <v>46267</v>
      </c>
      <c r="I380" s="11" t="n">
        <v>46270</v>
      </c>
      <c r="J380" s="2" t="n">
        <f aca="false">IF(I380="","",I380-H380)</f>
        <v>3</v>
      </c>
    </row>
    <row r="381" customFormat="false" ht="15" hidden="false" customHeight="false" outlineLevel="0" collapsed="false">
      <c r="A381" s="2" t="s">
        <v>594</v>
      </c>
      <c r="B381" s="2" t="s">
        <v>70</v>
      </c>
      <c r="C381" s="2" t="s">
        <v>35</v>
      </c>
      <c r="D381" s="2" t="s">
        <v>36</v>
      </c>
      <c r="E381" s="2" t="s">
        <v>16</v>
      </c>
      <c r="F381" s="2" t="s">
        <v>7</v>
      </c>
      <c r="G381" s="2" t="s">
        <v>37</v>
      </c>
      <c r="H381" s="11" t="n">
        <v>46287</v>
      </c>
      <c r="I381" s="11" t="n">
        <v>46295</v>
      </c>
      <c r="J381" s="2" t="n">
        <f aca="false">IF(I381="","",I381-H381)</f>
        <v>8</v>
      </c>
    </row>
    <row r="382" customFormat="false" ht="15" hidden="false" customHeight="false" outlineLevel="0" collapsed="false">
      <c r="A382" s="2" t="s">
        <v>595</v>
      </c>
      <c r="B382" s="2" t="s">
        <v>320</v>
      </c>
      <c r="C382" s="2" t="s">
        <v>40</v>
      </c>
      <c r="D382" s="2" t="s">
        <v>68</v>
      </c>
      <c r="E382" s="2" t="s">
        <v>15</v>
      </c>
      <c r="F382" s="2" t="s">
        <v>8</v>
      </c>
      <c r="G382" s="2" t="s">
        <v>49</v>
      </c>
      <c r="H382" s="11" t="n">
        <v>46213</v>
      </c>
      <c r="I382" s="11" t="n">
        <v>46219</v>
      </c>
      <c r="J382" s="2" t="n">
        <f aca="false">IF(I382="","",I382-H382)</f>
        <v>6</v>
      </c>
    </row>
    <row r="383" customFormat="false" ht="15" hidden="false" customHeight="false" outlineLevel="0" collapsed="false">
      <c r="A383" s="2" t="s">
        <v>596</v>
      </c>
      <c r="B383" s="2" t="s">
        <v>502</v>
      </c>
      <c r="C383" s="2" t="s">
        <v>35</v>
      </c>
      <c r="D383" s="2" t="s">
        <v>68</v>
      </c>
      <c r="E383" s="2" t="s">
        <v>15</v>
      </c>
      <c r="F383" s="2" t="s">
        <v>7</v>
      </c>
      <c r="G383" s="2" t="s">
        <v>49</v>
      </c>
      <c r="H383" s="11" t="n">
        <v>46307</v>
      </c>
      <c r="I383" s="11" t="n">
        <v>46308</v>
      </c>
      <c r="J383" s="2" t="n">
        <f aca="false">IF(I383="","",I383-H383)</f>
        <v>1</v>
      </c>
    </row>
    <row r="384" customFormat="false" ht="15" hidden="false" customHeight="false" outlineLevel="0" collapsed="false">
      <c r="A384" s="2" t="s">
        <v>597</v>
      </c>
      <c r="B384" s="2" t="s">
        <v>325</v>
      </c>
      <c r="C384" s="2" t="s">
        <v>45</v>
      </c>
      <c r="D384" s="2" t="s">
        <v>68</v>
      </c>
      <c r="E384" s="2" t="s">
        <v>15</v>
      </c>
      <c r="F384" s="2" t="s">
        <v>7</v>
      </c>
      <c r="G384" s="2" t="s">
        <v>37</v>
      </c>
      <c r="H384" s="11" t="n">
        <v>46266</v>
      </c>
      <c r="I384" s="11" t="n">
        <v>46267</v>
      </c>
      <c r="J384" s="2" t="n">
        <f aca="false">IF(I384="","",I384-H384)</f>
        <v>1</v>
      </c>
    </row>
    <row r="385" customFormat="false" ht="15" hidden="false" customHeight="false" outlineLevel="0" collapsed="false">
      <c r="A385" s="2" t="s">
        <v>598</v>
      </c>
      <c r="B385" s="2" t="s">
        <v>418</v>
      </c>
      <c r="C385" s="2" t="s">
        <v>54</v>
      </c>
      <c r="D385" s="2" t="s">
        <v>36</v>
      </c>
      <c r="E385" s="2" t="s">
        <v>15</v>
      </c>
      <c r="F385" s="2" t="s">
        <v>7</v>
      </c>
      <c r="G385" s="2" t="s">
        <v>49</v>
      </c>
      <c r="H385" s="11" t="n">
        <v>46299</v>
      </c>
      <c r="I385" s="11" t="n">
        <v>46305</v>
      </c>
      <c r="J385" s="2" t="n">
        <f aca="false">IF(I385="","",I385-H385)</f>
        <v>6</v>
      </c>
    </row>
    <row r="386" customFormat="false" ht="15" hidden="false" customHeight="false" outlineLevel="0" collapsed="false">
      <c r="A386" s="2" t="s">
        <v>599</v>
      </c>
      <c r="B386" s="2" t="s">
        <v>265</v>
      </c>
      <c r="C386" s="2" t="s">
        <v>45</v>
      </c>
      <c r="D386" s="2" t="s">
        <v>68</v>
      </c>
      <c r="E386" s="2" t="s">
        <v>16</v>
      </c>
      <c r="F386" s="2" t="s">
        <v>7</v>
      </c>
      <c r="G386" s="2" t="s">
        <v>42</v>
      </c>
      <c r="H386" s="11" t="n">
        <v>46215</v>
      </c>
      <c r="I386" s="11" t="n">
        <v>46226</v>
      </c>
      <c r="J386" s="2" t="n">
        <f aca="false">IF(I386="","",I386-H386)</f>
        <v>11</v>
      </c>
    </row>
    <row r="387" customFormat="false" ht="15" hidden="false" customHeight="false" outlineLevel="0" collapsed="false">
      <c r="A387" s="2" t="s">
        <v>600</v>
      </c>
      <c r="B387" s="2" t="s">
        <v>163</v>
      </c>
      <c r="C387" s="2" t="s">
        <v>45</v>
      </c>
      <c r="D387" s="2" t="s">
        <v>68</v>
      </c>
      <c r="E387" s="2" t="s">
        <v>17</v>
      </c>
      <c r="F387" s="2" t="s">
        <v>8</v>
      </c>
      <c r="G387" s="2" t="s">
        <v>37</v>
      </c>
      <c r="H387" s="11" t="n">
        <v>46250</v>
      </c>
      <c r="I387" s="11" t="n">
        <v>46252</v>
      </c>
      <c r="J387" s="2" t="n">
        <f aca="false">IF(I387="","",I387-H387)</f>
        <v>2</v>
      </c>
    </row>
    <row r="388" customFormat="false" ht="15" hidden="false" customHeight="false" outlineLevel="0" collapsed="false">
      <c r="A388" s="2" t="s">
        <v>601</v>
      </c>
      <c r="B388" s="2" t="s">
        <v>602</v>
      </c>
      <c r="C388" s="2" t="s">
        <v>58</v>
      </c>
      <c r="D388" s="2" t="s">
        <v>68</v>
      </c>
      <c r="E388" s="2" t="s">
        <v>15</v>
      </c>
      <c r="F388" s="2" t="s">
        <v>7</v>
      </c>
      <c r="G388" s="2" t="s">
        <v>37</v>
      </c>
      <c r="H388" s="11" t="n">
        <v>46238</v>
      </c>
      <c r="I388" s="11" t="n">
        <v>46243</v>
      </c>
      <c r="J388" s="2" t="n">
        <f aca="false">IF(I388="","",I388-H388)</f>
        <v>5</v>
      </c>
    </row>
    <row r="389" customFormat="false" ht="15" hidden="false" customHeight="false" outlineLevel="0" collapsed="false">
      <c r="A389" s="2" t="s">
        <v>603</v>
      </c>
      <c r="B389" s="2" t="s">
        <v>172</v>
      </c>
      <c r="C389" s="2" t="s">
        <v>35</v>
      </c>
      <c r="D389" s="2" t="s">
        <v>36</v>
      </c>
      <c r="E389" s="2" t="s">
        <v>16</v>
      </c>
      <c r="F389" s="2" t="s">
        <v>7</v>
      </c>
      <c r="G389" s="2" t="s">
        <v>42</v>
      </c>
      <c r="H389" s="11" t="n">
        <v>46204</v>
      </c>
      <c r="I389" s="11" t="n">
        <v>46212</v>
      </c>
      <c r="J389" s="2" t="n">
        <f aca="false">IF(I389="","",I389-H389)</f>
        <v>8</v>
      </c>
    </row>
    <row r="390" customFormat="false" ht="15" hidden="false" customHeight="false" outlineLevel="0" collapsed="false">
      <c r="A390" s="2" t="s">
        <v>604</v>
      </c>
      <c r="B390" s="2" t="s">
        <v>146</v>
      </c>
      <c r="C390" s="2" t="s">
        <v>58</v>
      </c>
      <c r="D390" s="2" t="s">
        <v>48</v>
      </c>
      <c r="E390" s="2" t="s">
        <v>15</v>
      </c>
      <c r="F390" s="2" t="s">
        <v>6</v>
      </c>
      <c r="G390" s="2" t="s">
        <v>37</v>
      </c>
      <c r="H390" s="11" t="n">
        <v>46321</v>
      </c>
      <c r="I390" s="11"/>
      <c r="J390" s="2" t="str">
        <f aca="false">IF(I390="","",I390-H390)</f>
        <v/>
      </c>
    </row>
    <row r="391" customFormat="false" ht="15" hidden="false" customHeight="false" outlineLevel="0" collapsed="false">
      <c r="A391" s="2" t="s">
        <v>605</v>
      </c>
      <c r="B391" s="2" t="s">
        <v>426</v>
      </c>
      <c r="C391" s="2" t="s">
        <v>35</v>
      </c>
      <c r="D391" s="2" t="s">
        <v>48</v>
      </c>
      <c r="E391" s="2" t="s">
        <v>16</v>
      </c>
      <c r="F391" s="2" t="s">
        <v>8</v>
      </c>
      <c r="G391" s="2" t="s">
        <v>49</v>
      </c>
      <c r="H391" s="11" t="n">
        <v>46230</v>
      </c>
      <c r="I391" s="11" t="n">
        <v>46236</v>
      </c>
      <c r="J391" s="2" t="n">
        <f aca="false">IF(I391="","",I391-H391)</f>
        <v>6</v>
      </c>
    </row>
    <row r="392" customFormat="false" ht="15" hidden="false" customHeight="false" outlineLevel="0" collapsed="false">
      <c r="A392" s="2" t="s">
        <v>606</v>
      </c>
      <c r="B392" s="2" t="s">
        <v>607</v>
      </c>
      <c r="C392" s="2" t="s">
        <v>45</v>
      </c>
      <c r="D392" s="2" t="s">
        <v>68</v>
      </c>
      <c r="E392" s="2" t="s">
        <v>16</v>
      </c>
      <c r="F392" s="2" t="s">
        <v>7</v>
      </c>
      <c r="G392" s="2" t="s">
        <v>55</v>
      </c>
      <c r="H392" s="11" t="n">
        <v>46303</v>
      </c>
      <c r="I392" s="11" t="n">
        <v>46306</v>
      </c>
      <c r="J392" s="2" t="n">
        <f aca="false">IF(I392="","",I392-H392)</f>
        <v>3</v>
      </c>
    </row>
    <row r="393" customFormat="false" ht="15" hidden="false" customHeight="false" outlineLevel="0" collapsed="false">
      <c r="A393" s="2" t="s">
        <v>608</v>
      </c>
      <c r="B393" s="2" t="s">
        <v>62</v>
      </c>
      <c r="C393" s="2" t="s">
        <v>35</v>
      </c>
      <c r="D393" s="2" t="s">
        <v>68</v>
      </c>
      <c r="E393" s="2" t="s">
        <v>15</v>
      </c>
      <c r="F393" s="2" t="s">
        <v>7</v>
      </c>
      <c r="G393" s="2" t="s">
        <v>42</v>
      </c>
      <c r="H393" s="11" t="n">
        <v>46225</v>
      </c>
      <c r="I393" s="11" t="n">
        <v>46231</v>
      </c>
      <c r="J393" s="2" t="n">
        <f aca="false">IF(I393="","",I393-H393)</f>
        <v>6</v>
      </c>
    </row>
    <row r="394" customFormat="false" ht="15" hidden="false" customHeight="false" outlineLevel="0" collapsed="false">
      <c r="A394" s="2" t="s">
        <v>609</v>
      </c>
      <c r="B394" s="2" t="s">
        <v>341</v>
      </c>
      <c r="C394" s="2" t="s">
        <v>40</v>
      </c>
      <c r="D394" s="2" t="s">
        <v>68</v>
      </c>
      <c r="E394" s="2" t="s">
        <v>17</v>
      </c>
      <c r="F394" s="2" t="s">
        <v>6</v>
      </c>
      <c r="G394" s="2" t="s">
        <v>42</v>
      </c>
      <c r="H394" s="11" t="n">
        <v>46269</v>
      </c>
      <c r="I394" s="11"/>
      <c r="J394" s="2" t="str">
        <f aca="false">IF(I394="","",I394-H394)</f>
        <v/>
      </c>
    </row>
    <row r="395" customFormat="false" ht="15" hidden="false" customHeight="false" outlineLevel="0" collapsed="false">
      <c r="A395" s="2" t="s">
        <v>610</v>
      </c>
      <c r="B395" s="2" t="s">
        <v>550</v>
      </c>
      <c r="C395" s="2" t="s">
        <v>58</v>
      </c>
      <c r="D395" s="2" t="s">
        <v>48</v>
      </c>
      <c r="E395" s="2" t="s">
        <v>15</v>
      </c>
      <c r="F395" s="2" t="s">
        <v>6</v>
      </c>
      <c r="G395" s="2" t="s">
        <v>55</v>
      </c>
      <c r="H395" s="11" t="n">
        <v>46203</v>
      </c>
      <c r="I395" s="11"/>
      <c r="J395" s="2" t="str">
        <f aca="false">IF(I395="","",I395-H395)</f>
        <v/>
      </c>
    </row>
    <row r="396" customFormat="false" ht="15" hidden="false" customHeight="false" outlineLevel="0" collapsed="false">
      <c r="A396" s="2" t="s">
        <v>611</v>
      </c>
      <c r="B396" s="2" t="s">
        <v>315</v>
      </c>
      <c r="C396" s="2" t="s">
        <v>58</v>
      </c>
      <c r="D396" s="2" t="s">
        <v>48</v>
      </c>
      <c r="E396" s="2" t="s">
        <v>15</v>
      </c>
      <c r="F396" s="2" t="s">
        <v>7</v>
      </c>
      <c r="G396" s="2" t="s">
        <v>55</v>
      </c>
      <c r="H396" s="11" t="n">
        <v>46226</v>
      </c>
      <c r="I396" s="11" t="n">
        <v>46234</v>
      </c>
      <c r="J396" s="2" t="n">
        <f aca="false">IF(I396="","",I396-H396)</f>
        <v>8</v>
      </c>
    </row>
    <row r="397" customFormat="false" ht="15" hidden="false" customHeight="false" outlineLevel="0" collapsed="false">
      <c r="A397" s="2" t="s">
        <v>612</v>
      </c>
      <c r="B397" s="2" t="s">
        <v>260</v>
      </c>
      <c r="C397" s="2" t="s">
        <v>40</v>
      </c>
      <c r="D397" s="2" t="s">
        <v>68</v>
      </c>
      <c r="E397" s="2" t="s">
        <v>15</v>
      </c>
      <c r="F397" s="2" t="s">
        <v>7</v>
      </c>
      <c r="G397" s="2" t="s">
        <v>37</v>
      </c>
      <c r="H397" s="11" t="n">
        <v>46231</v>
      </c>
      <c r="I397" s="11" t="n">
        <v>46242</v>
      </c>
      <c r="J397" s="2" t="n">
        <f aca="false">IF(I397="","",I397-H397)</f>
        <v>11</v>
      </c>
    </row>
    <row r="398" customFormat="false" ht="15" hidden="false" customHeight="false" outlineLevel="0" collapsed="false">
      <c r="A398" s="2" t="s">
        <v>613</v>
      </c>
      <c r="B398" s="2" t="s">
        <v>96</v>
      </c>
      <c r="C398" s="2" t="s">
        <v>40</v>
      </c>
      <c r="D398" s="2" t="s">
        <v>36</v>
      </c>
      <c r="E398" s="2" t="s">
        <v>16</v>
      </c>
      <c r="F398" s="2" t="s">
        <v>8</v>
      </c>
      <c r="G398" s="2" t="s">
        <v>49</v>
      </c>
      <c r="H398" s="11" t="n">
        <v>46235</v>
      </c>
      <c r="I398" s="11" t="n">
        <v>46243</v>
      </c>
      <c r="J398" s="2" t="n">
        <f aca="false">IF(I398="","",I398-H398)</f>
        <v>8</v>
      </c>
    </row>
    <row r="399" customFormat="false" ht="15" hidden="false" customHeight="false" outlineLevel="0" collapsed="false">
      <c r="A399" s="2" t="s">
        <v>614</v>
      </c>
      <c r="B399" s="2" t="s">
        <v>615</v>
      </c>
      <c r="C399" s="2" t="s">
        <v>35</v>
      </c>
      <c r="D399" s="2" t="s">
        <v>41</v>
      </c>
      <c r="E399" s="2" t="s">
        <v>17</v>
      </c>
      <c r="F399" s="2" t="s">
        <v>6</v>
      </c>
      <c r="G399" s="2" t="s">
        <v>42</v>
      </c>
      <c r="H399" s="11" t="n">
        <v>46318</v>
      </c>
      <c r="I399" s="11"/>
      <c r="J399" s="2" t="str">
        <f aca="false">IF(I399="","",I399-H399)</f>
        <v/>
      </c>
    </row>
    <row r="400" customFormat="false" ht="15" hidden="false" customHeight="false" outlineLevel="0" collapsed="false">
      <c r="A400" s="2" t="s">
        <v>616</v>
      </c>
      <c r="B400" s="2" t="s">
        <v>216</v>
      </c>
      <c r="C400" s="2" t="s">
        <v>40</v>
      </c>
      <c r="D400" s="2" t="s">
        <v>68</v>
      </c>
      <c r="E400" s="2" t="s">
        <v>15</v>
      </c>
      <c r="F400" s="2" t="s">
        <v>7</v>
      </c>
      <c r="G400" s="2" t="s">
        <v>42</v>
      </c>
      <c r="H400" s="11" t="n">
        <v>46205</v>
      </c>
      <c r="I400" s="11" t="n">
        <v>46211</v>
      </c>
      <c r="J400" s="2" t="n">
        <f aca="false">IF(I400="","",I400-H400)</f>
        <v>6</v>
      </c>
    </row>
    <row r="401" customFormat="false" ht="15" hidden="false" customHeight="false" outlineLevel="0" collapsed="false">
      <c r="A401" s="2" t="s">
        <v>617</v>
      </c>
      <c r="B401" s="2" t="s">
        <v>247</v>
      </c>
      <c r="C401" s="2" t="s">
        <v>35</v>
      </c>
      <c r="D401" s="2" t="s">
        <v>41</v>
      </c>
      <c r="E401" s="2" t="s">
        <v>15</v>
      </c>
      <c r="F401" s="2" t="s">
        <v>8</v>
      </c>
      <c r="G401" s="2" t="s">
        <v>49</v>
      </c>
      <c r="H401" s="11" t="n">
        <v>46312</v>
      </c>
      <c r="I401" s="11" t="n">
        <v>46317</v>
      </c>
      <c r="J401" s="2" t="n">
        <f aca="false">IF(I401="","",I401-H401)</f>
        <v>5</v>
      </c>
    </row>
    <row r="402" customFormat="false" ht="15" hidden="false" customHeight="false" outlineLevel="0" collapsed="false">
      <c r="A402" s="2" t="s">
        <v>618</v>
      </c>
      <c r="B402" s="2" t="s">
        <v>430</v>
      </c>
      <c r="C402" s="2" t="s">
        <v>54</v>
      </c>
      <c r="D402" s="2" t="s">
        <v>68</v>
      </c>
      <c r="E402" s="2" t="s">
        <v>15</v>
      </c>
      <c r="F402" s="2" t="s">
        <v>7</v>
      </c>
      <c r="G402" s="2" t="s">
        <v>42</v>
      </c>
      <c r="H402" s="11" t="n">
        <v>46311</v>
      </c>
      <c r="I402" s="11" t="n">
        <v>46313</v>
      </c>
      <c r="J402" s="2" t="n">
        <f aca="false">IF(I402="","",I402-H402)</f>
        <v>2</v>
      </c>
    </row>
    <row r="403" customFormat="false" ht="15" hidden="false" customHeight="false" outlineLevel="0" collapsed="false">
      <c r="A403" s="2" t="s">
        <v>619</v>
      </c>
      <c r="B403" s="2" t="s">
        <v>165</v>
      </c>
      <c r="C403" s="2" t="s">
        <v>54</v>
      </c>
      <c r="D403" s="2" t="s">
        <v>41</v>
      </c>
      <c r="E403" s="2" t="s">
        <v>16</v>
      </c>
      <c r="F403" s="2" t="s">
        <v>7</v>
      </c>
      <c r="G403" s="2" t="s">
        <v>37</v>
      </c>
      <c r="H403" s="11" t="n">
        <v>46272</v>
      </c>
      <c r="I403" s="11" t="n">
        <v>46284</v>
      </c>
      <c r="J403" s="2" t="n">
        <f aca="false">IF(I403="","",I403-H403)</f>
        <v>12</v>
      </c>
    </row>
    <row r="404" customFormat="false" ht="15" hidden="false" customHeight="false" outlineLevel="0" collapsed="false">
      <c r="A404" s="2" t="s">
        <v>620</v>
      </c>
      <c r="B404" s="2" t="s">
        <v>303</v>
      </c>
      <c r="C404" s="2" t="s">
        <v>45</v>
      </c>
      <c r="D404" s="2" t="s">
        <v>48</v>
      </c>
      <c r="E404" s="2" t="s">
        <v>15</v>
      </c>
      <c r="F404" s="2" t="s">
        <v>6</v>
      </c>
      <c r="G404" s="2" t="s">
        <v>37</v>
      </c>
      <c r="H404" s="11" t="n">
        <v>46224</v>
      </c>
      <c r="I404" s="11"/>
      <c r="J404" s="2" t="str">
        <f aca="false">IF(I404="","",I404-H404)</f>
        <v/>
      </c>
    </row>
    <row r="405" customFormat="false" ht="15" hidden="false" customHeight="false" outlineLevel="0" collapsed="false">
      <c r="A405" s="2" t="s">
        <v>621</v>
      </c>
      <c r="B405" s="2" t="s">
        <v>114</v>
      </c>
      <c r="C405" s="2" t="s">
        <v>58</v>
      </c>
      <c r="D405" s="2" t="s">
        <v>48</v>
      </c>
      <c r="E405" s="2" t="s">
        <v>15</v>
      </c>
      <c r="F405" s="2" t="s">
        <v>7</v>
      </c>
      <c r="G405" s="2" t="s">
        <v>49</v>
      </c>
      <c r="H405" s="11" t="n">
        <v>46311</v>
      </c>
      <c r="I405" s="11" t="n">
        <v>46315</v>
      </c>
      <c r="J405" s="2" t="n">
        <f aca="false">IF(I405="","",I405-H405)</f>
        <v>4</v>
      </c>
    </row>
    <row r="406" customFormat="false" ht="15" hidden="false" customHeight="false" outlineLevel="0" collapsed="false">
      <c r="A406" s="2" t="s">
        <v>622</v>
      </c>
      <c r="B406" s="2" t="s">
        <v>106</v>
      </c>
      <c r="C406" s="2" t="s">
        <v>35</v>
      </c>
      <c r="D406" s="2" t="s">
        <v>41</v>
      </c>
      <c r="E406" s="2" t="s">
        <v>15</v>
      </c>
      <c r="F406" s="2" t="s">
        <v>7</v>
      </c>
      <c r="G406" s="2" t="s">
        <v>55</v>
      </c>
      <c r="H406" s="11" t="n">
        <v>46291</v>
      </c>
      <c r="I406" s="11" t="n">
        <v>46293</v>
      </c>
      <c r="J406" s="2" t="n">
        <f aca="false">IF(I406="","",I406-H406)</f>
        <v>2</v>
      </c>
    </row>
    <row r="407" customFormat="false" ht="15" hidden="false" customHeight="false" outlineLevel="0" collapsed="false">
      <c r="A407" s="2" t="s">
        <v>623</v>
      </c>
      <c r="B407" s="2" t="s">
        <v>287</v>
      </c>
      <c r="C407" s="2" t="s">
        <v>58</v>
      </c>
      <c r="D407" s="2" t="s">
        <v>41</v>
      </c>
      <c r="E407" s="2" t="s">
        <v>15</v>
      </c>
      <c r="F407" s="2" t="s">
        <v>8</v>
      </c>
      <c r="G407" s="2" t="s">
        <v>42</v>
      </c>
      <c r="H407" s="11" t="n">
        <v>46252</v>
      </c>
      <c r="I407" s="11" t="n">
        <v>46258</v>
      </c>
      <c r="J407" s="2" t="n">
        <f aca="false">IF(I407="","",I407-H407)</f>
        <v>6</v>
      </c>
    </row>
    <row r="408" customFormat="false" ht="15" hidden="false" customHeight="false" outlineLevel="0" collapsed="false">
      <c r="A408" s="2" t="s">
        <v>624</v>
      </c>
      <c r="B408" s="2" t="s">
        <v>625</v>
      </c>
      <c r="C408" s="2" t="s">
        <v>45</v>
      </c>
      <c r="D408" s="2" t="s">
        <v>41</v>
      </c>
      <c r="E408" s="2" t="s">
        <v>16</v>
      </c>
      <c r="F408" s="2" t="s">
        <v>7</v>
      </c>
      <c r="G408" s="2" t="s">
        <v>55</v>
      </c>
      <c r="H408" s="11" t="n">
        <v>46212</v>
      </c>
      <c r="I408" s="11" t="n">
        <v>46220</v>
      </c>
      <c r="J408" s="2" t="n">
        <f aca="false">IF(I408="","",I408-H408)</f>
        <v>8</v>
      </c>
    </row>
    <row r="409" customFormat="false" ht="15" hidden="false" customHeight="false" outlineLevel="0" collapsed="false">
      <c r="A409" s="2" t="s">
        <v>626</v>
      </c>
      <c r="B409" s="2" t="s">
        <v>172</v>
      </c>
      <c r="C409" s="2" t="s">
        <v>54</v>
      </c>
      <c r="D409" s="2" t="s">
        <v>68</v>
      </c>
      <c r="E409" s="2" t="s">
        <v>15</v>
      </c>
      <c r="F409" s="2" t="s">
        <v>7</v>
      </c>
      <c r="G409" s="2" t="s">
        <v>49</v>
      </c>
      <c r="H409" s="11" t="n">
        <v>46255</v>
      </c>
      <c r="I409" s="11" t="n">
        <v>46258</v>
      </c>
      <c r="J409" s="2" t="n">
        <f aca="false">IF(I409="","",I409-H409)</f>
        <v>3</v>
      </c>
    </row>
    <row r="410" customFormat="false" ht="15" hidden="false" customHeight="false" outlineLevel="0" collapsed="false">
      <c r="A410" s="2" t="s">
        <v>627</v>
      </c>
      <c r="B410" s="2" t="s">
        <v>325</v>
      </c>
      <c r="C410" s="2" t="s">
        <v>35</v>
      </c>
      <c r="D410" s="2" t="s">
        <v>36</v>
      </c>
      <c r="E410" s="2" t="s">
        <v>15</v>
      </c>
      <c r="F410" s="2" t="s">
        <v>8</v>
      </c>
      <c r="G410" s="2" t="s">
        <v>55</v>
      </c>
      <c r="H410" s="11" t="n">
        <v>46211</v>
      </c>
      <c r="I410" s="11" t="n">
        <v>46219</v>
      </c>
      <c r="J410" s="2" t="n">
        <f aca="false">IF(I410="","",I410-H410)</f>
        <v>8</v>
      </c>
    </row>
    <row r="411" customFormat="false" ht="15" hidden="false" customHeight="false" outlineLevel="0" collapsed="false">
      <c r="A411" s="2" t="s">
        <v>628</v>
      </c>
      <c r="B411" s="2" t="s">
        <v>629</v>
      </c>
      <c r="C411" s="2" t="s">
        <v>35</v>
      </c>
      <c r="D411" s="2" t="s">
        <v>36</v>
      </c>
      <c r="E411" s="2" t="s">
        <v>16</v>
      </c>
      <c r="F411" s="2" t="s">
        <v>7</v>
      </c>
      <c r="G411" s="2" t="s">
        <v>49</v>
      </c>
      <c r="H411" s="11" t="n">
        <v>46259</v>
      </c>
      <c r="I411" s="11" t="n">
        <v>46268</v>
      </c>
      <c r="J411" s="2" t="n">
        <f aca="false">IF(I411="","",I411-H411)</f>
        <v>9</v>
      </c>
    </row>
    <row r="412" customFormat="false" ht="15" hidden="false" customHeight="false" outlineLevel="0" collapsed="false">
      <c r="A412" s="2" t="s">
        <v>630</v>
      </c>
      <c r="B412" s="2" t="s">
        <v>376</v>
      </c>
      <c r="C412" s="2" t="s">
        <v>45</v>
      </c>
      <c r="D412" s="2" t="s">
        <v>36</v>
      </c>
      <c r="E412" s="2" t="s">
        <v>15</v>
      </c>
      <c r="F412" s="2" t="s">
        <v>7</v>
      </c>
      <c r="G412" s="2" t="s">
        <v>37</v>
      </c>
      <c r="H412" s="11" t="n">
        <v>46278</v>
      </c>
      <c r="I412" s="11" t="n">
        <v>46289</v>
      </c>
      <c r="J412" s="2" t="n">
        <f aca="false">IF(I412="","",I412-H412)</f>
        <v>11</v>
      </c>
    </row>
    <row r="413" customFormat="false" ht="15" hidden="false" customHeight="false" outlineLevel="0" collapsed="false">
      <c r="A413" s="2" t="s">
        <v>631</v>
      </c>
      <c r="B413" s="2" t="s">
        <v>632</v>
      </c>
      <c r="C413" s="2" t="s">
        <v>45</v>
      </c>
      <c r="D413" s="2" t="s">
        <v>48</v>
      </c>
      <c r="E413" s="2" t="s">
        <v>15</v>
      </c>
      <c r="F413" s="2" t="s">
        <v>7</v>
      </c>
      <c r="G413" s="2" t="s">
        <v>49</v>
      </c>
      <c r="H413" s="11" t="n">
        <v>46302</v>
      </c>
      <c r="I413" s="11" t="n">
        <v>46313</v>
      </c>
      <c r="J413" s="2" t="n">
        <f aca="false">IF(I413="","",I413-H413)</f>
        <v>11</v>
      </c>
    </row>
    <row r="414" customFormat="false" ht="15" hidden="false" customHeight="false" outlineLevel="0" collapsed="false">
      <c r="A414" s="2" t="s">
        <v>633</v>
      </c>
      <c r="B414" s="2" t="s">
        <v>516</v>
      </c>
      <c r="C414" s="2" t="s">
        <v>40</v>
      </c>
      <c r="D414" s="2" t="s">
        <v>68</v>
      </c>
      <c r="E414" s="2" t="s">
        <v>15</v>
      </c>
      <c r="F414" s="2" t="s">
        <v>7</v>
      </c>
      <c r="G414" s="2" t="s">
        <v>55</v>
      </c>
      <c r="H414" s="11" t="n">
        <v>46275</v>
      </c>
      <c r="I414" s="11" t="n">
        <v>46278</v>
      </c>
      <c r="J414" s="2" t="n">
        <f aca="false">IF(I414="","",I414-H414)</f>
        <v>3</v>
      </c>
    </row>
    <row r="415" customFormat="false" ht="15" hidden="false" customHeight="false" outlineLevel="0" collapsed="false">
      <c r="A415" s="2" t="s">
        <v>634</v>
      </c>
      <c r="B415" s="2" t="s">
        <v>498</v>
      </c>
      <c r="C415" s="2" t="s">
        <v>45</v>
      </c>
      <c r="D415" s="2" t="s">
        <v>41</v>
      </c>
      <c r="E415" s="2" t="s">
        <v>16</v>
      </c>
      <c r="F415" s="2" t="s">
        <v>6</v>
      </c>
      <c r="G415" s="2" t="s">
        <v>37</v>
      </c>
      <c r="H415" s="11" t="n">
        <v>46222</v>
      </c>
      <c r="I415" s="11"/>
      <c r="J415" s="2" t="str">
        <f aca="false">IF(I415="","",I415-H415)</f>
        <v/>
      </c>
    </row>
    <row r="416" customFormat="false" ht="15" hidden="false" customHeight="false" outlineLevel="0" collapsed="false">
      <c r="A416" s="2" t="s">
        <v>635</v>
      </c>
      <c r="B416" s="2" t="s">
        <v>322</v>
      </c>
      <c r="C416" s="2" t="s">
        <v>45</v>
      </c>
      <c r="D416" s="2" t="s">
        <v>41</v>
      </c>
      <c r="E416" s="2" t="s">
        <v>17</v>
      </c>
      <c r="F416" s="2" t="s">
        <v>7</v>
      </c>
      <c r="G416" s="2" t="s">
        <v>49</v>
      </c>
      <c r="H416" s="11" t="n">
        <v>46302</v>
      </c>
      <c r="I416" s="11" t="n">
        <v>46311</v>
      </c>
      <c r="J416" s="2" t="n">
        <f aca="false">IF(I416="","",I416-H416)</f>
        <v>9</v>
      </c>
    </row>
    <row r="417" customFormat="false" ht="15" hidden="false" customHeight="false" outlineLevel="0" collapsed="false">
      <c r="A417" s="2" t="s">
        <v>636</v>
      </c>
      <c r="B417" s="2" t="s">
        <v>47</v>
      </c>
      <c r="C417" s="2" t="s">
        <v>35</v>
      </c>
      <c r="D417" s="2" t="s">
        <v>68</v>
      </c>
      <c r="E417" s="2" t="s">
        <v>15</v>
      </c>
      <c r="F417" s="2" t="s">
        <v>7</v>
      </c>
      <c r="G417" s="2" t="s">
        <v>37</v>
      </c>
      <c r="H417" s="11" t="n">
        <v>46227</v>
      </c>
      <c r="I417" s="11" t="n">
        <v>46233</v>
      </c>
      <c r="J417" s="2" t="n">
        <f aca="false">IF(I417="","",I417-H417)</f>
        <v>6</v>
      </c>
    </row>
    <row r="418" customFormat="false" ht="15" hidden="false" customHeight="false" outlineLevel="0" collapsed="false">
      <c r="A418" s="2" t="s">
        <v>637</v>
      </c>
      <c r="B418" s="2" t="s">
        <v>318</v>
      </c>
      <c r="C418" s="2" t="s">
        <v>40</v>
      </c>
      <c r="D418" s="2" t="s">
        <v>68</v>
      </c>
      <c r="E418" s="2" t="s">
        <v>15</v>
      </c>
      <c r="F418" s="2" t="s">
        <v>7</v>
      </c>
      <c r="G418" s="2" t="s">
        <v>42</v>
      </c>
      <c r="H418" s="11" t="n">
        <v>46211</v>
      </c>
      <c r="I418" s="11" t="n">
        <v>46214</v>
      </c>
      <c r="J418" s="2" t="n">
        <f aca="false">IF(I418="","",I418-H418)</f>
        <v>3</v>
      </c>
    </row>
    <row r="419" customFormat="false" ht="15" hidden="false" customHeight="false" outlineLevel="0" collapsed="false">
      <c r="A419" s="2" t="s">
        <v>638</v>
      </c>
      <c r="B419" s="2" t="s">
        <v>529</v>
      </c>
      <c r="C419" s="2" t="s">
        <v>58</v>
      </c>
      <c r="D419" s="2" t="s">
        <v>48</v>
      </c>
      <c r="E419" s="2" t="s">
        <v>15</v>
      </c>
      <c r="F419" s="2" t="s">
        <v>7</v>
      </c>
      <c r="G419" s="2" t="s">
        <v>42</v>
      </c>
      <c r="H419" s="11" t="n">
        <v>46224</v>
      </c>
      <c r="I419" s="11" t="n">
        <v>46225</v>
      </c>
      <c r="J419" s="2" t="n">
        <f aca="false">IF(I419="","",I419-H419)</f>
        <v>1</v>
      </c>
    </row>
    <row r="420" customFormat="false" ht="15" hidden="false" customHeight="false" outlineLevel="0" collapsed="false">
      <c r="A420" s="2" t="s">
        <v>639</v>
      </c>
      <c r="B420" s="2" t="s">
        <v>360</v>
      </c>
      <c r="C420" s="2" t="s">
        <v>40</v>
      </c>
      <c r="D420" s="2" t="s">
        <v>68</v>
      </c>
      <c r="E420" s="2" t="s">
        <v>17</v>
      </c>
      <c r="F420" s="2" t="s">
        <v>7</v>
      </c>
      <c r="G420" s="2" t="s">
        <v>42</v>
      </c>
      <c r="H420" s="11" t="n">
        <v>46301</v>
      </c>
      <c r="I420" s="11" t="n">
        <v>46311</v>
      </c>
      <c r="J420" s="2" t="n">
        <f aca="false">IF(I420="","",I420-H420)</f>
        <v>10</v>
      </c>
    </row>
    <row r="421" customFormat="false" ht="15" hidden="false" customHeight="false" outlineLevel="0" collapsed="false">
      <c r="A421" s="2" t="s">
        <v>640</v>
      </c>
      <c r="B421" s="2" t="s">
        <v>92</v>
      </c>
      <c r="C421" s="2" t="s">
        <v>35</v>
      </c>
      <c r="D421" s="2" t="s">
        <v>48</v>
      </c>
      <c r="E421" s="2" t="s">
        <v>16</v>
      </c>
      <c r="F421" s="2" t="s">
        <v>7</v>
      </c>
      <c r="G421" s="2" t="s">
        <v>49</v>
      </c>
      <c r="H421" s="11" t="n">
        <v>46264</v>
      </c>
      <c r="I421" s="11" t="n">
        <v>46268</v>
      </c>
      <c r="J421" s="2" t="n">
        <f aca="false">IF(I421="","",I421-H421)</f>
        <v>4</v>
      </c>
    </row>
    <row r="422" customFormat="false" ht="15" hidden="false" customHeight="false" outlineLevel="0" collapsed="false">
      <c r="A422" s="2" t="s">
        <v>641</v>
      </c>
      <c r="B422" s="2" t="s">
        <v>426</v>
      </c>
      <c r="C422" s="2" t="s">
        <v>58</v>
      </c>
      <c r="D422" s="2" t="s">
        <v>41</v>
      </c>
      <c r="E422" s="2" t="s">
        <v>15</v>
      </c>
      <c r="F422" s="2" t="s">
        <v>8</v>
      </c>
      <c r="G422" s="2" t="s">
        <v>55</v>
      </c>
      <c r="H422" s="11" t="n">
        <v>46273</v>
      </c>
      <c r="I422" s="11" t="n">
        <v>46276</v>
      </c>
      <c r="J422" s="2" t="n">
        <f aca="false">IF(I422="","",I422-H422)</f>
        <v>3</v>
      </c>
    </row>
    <row r="423" customFormat="false" ht="15" hidden="false" customHeight="false" outlineLevel="0" collapsed="false">
      <c r="A423" s="2" t="s">
        <v>642</v>
      </c>
      <c r="B423" s="2" t="s">
        <v>250</v>
      </c>
      <c r="C423" s="2" t="s">
        <v>58</v>
      </c>
      <c r="D423" s="2" t="s">
        <v>48</v>
      </c>
      <c r="E423" s="2" t="s">
        <v>16</v>
      </c>
      <c r="F423" s="2" t="s">
        <v>7</v>
      </c>
      <c r="G423" s="2" t="s">
        <v>55</v>
      </c>
      <c r="H423" s="11" t="n">
        <v>46284</v>
      </c>
      <c r="I423" s="11" t="n">
        <v>46285</v>
      </c>
      <c r="J423" s="2" t="n">
        <f aca="false">IF(I423="","",I423-H423)</f>
        <v>1</v>
      </c>
    </row>
    <row r="424" customFormat="false" ht="15" hidden="false" customHeight="false" outlineLevel="0" collapsed="false">
      <c r="A424" s="2" t="s">
        <v>643</v>
      </c>
      <c r="B424" s="2" t="s">
        <v>106</v>
      </c>
      <c r="C424" s="2" t="s">
        <v>40</v>
      </c>
      <c r="D424" s="2" t="s">
        <v>68</v>
      </c>
      <c r="E424" s="2" t="s">
        <v>16</v>
      </c>
      <c r="F424" s="2" t="s">
        <v>7</v>
      </c>
      <c r="G424" s="2" t="s">
        <v>42</v>
      </c>
      <c r="H424" s="11" t="n">
        <v>46292</v>
      </c>
      <c r="I424" s="11" t="n">
        <v>46293</v>
      </c>
      <c r="J424" s="2" t="n">
        <f aca="false">IF(I424="","",I424-H424)</f>
        <v>1</v>
      </c>
    </row>
    <row r="425" customFormat="false" ht="15" hidden="false" customHeight="false" outlineLevel="0" collapsed="false">
      <c r="A425" s="2" t="s">
        <v>644</v>
      </c>
      <c r="B425" s="2" t="s">
        <v>237</v>
      </c>
      <c r="C425" s="2" t="s">
        <v>54</v>
      </c>
      <c r="D425" s="2" t="s">
        <v>48</v>
      </c>
      <c r="E425" s="2" t="s">
        <v>16</v>
      </c>
      <c r="F425" s="2" t="s">
        <v>6</v>
      </c>
      <c r="G425" s="2" t="s">
        <v>42</v>
      </c>
      <c r="H425" s="11" t="n">
        <v>46239</v>
      </c>
      <c r="I425" s="11"/>
      <c r="J425" s="2" t="str">
        <f aca="false">IF(I425="","",I425-H425)</f>
        <v/>
      </c>
    </row>
    <row r="426" customFormat="false" ht="15" hidden="false" customHeight="false" outlineLevel="0" collapsed="false">
      <c r="A426" s="2" t="s">
        <v>645</v>
      </c>
      <c r="B426" s="2" t="s">
        <v>151</v>
      </c>
      <c r="C426" s="2" t="s">
        <v>54</v>
      </c>
      <c r="D426" s="2" t="s">
        <v>68</v>
      </c>
      <c r="E426" s="2" t="s">
        <v>16</v>
      </c>
      <c r="F426" s="2" t="s">
        <v>7</v>
      </c>
      <c r="G426" s="2" t="s">
        <v>37</v>
      </c>
      <c r="H426" s="11" t="n">
        <v>46216</v>
      </c>
      <c r="I426" s="11" t="n">
        <v>46221</v>
      </c>
      <c r="J426" s="2" t="n">
        <f aca="false">IF(I426="","",I426-H426)</f>
        <v>5</v>
      </c>
    </row>
    <row r="427" customFormat="false" ht="15" hidden="false" customHeight="false" outlineLevel="0" collapsed="false">
      <c r="A427" s="2" t="s">
        <v>646</v>
      </c>
      <c r="B427" s="2" t="s">
        <v>133</v>
      </c>
      <c r="C427" s="2" t="s">
        <v>54</v>
      </c>
      <c r="D427" s="2" t="s">
        <v>68</v>
      </c>
      <c r="E427" s="2" t="s">
        <v>16</v>
      </c>
      <c r="F427" s="2" t="s">
        <v>7</v>
      </c>
      <c r="G427" s="2" t="s">
        <v>42</v>
      </c>
      <c r="H427" s="11" t="n">
        <v>46210</v>
      </c>
      <c r="I427" s="11" t="n">
        <v>46219</v>
      </c>
      <c r="J427" s="2" t="n">
        <f aca="false">IF(I427="","",I427-H427)</f>
        <v>9</v>
      </c>
    </row>
    <row r="428" customFormat="false" ht="15" hidden="false" customHeight="false" outlineLevel="0" collapsed="false">
      <c r="A428" s="2" t="s">
        <v>647</v>
      </c>
      <c r="B428" s="2" t="s">
        <v>161</v>
      </c>
      <c r="C428" s="2" t="s">
        <v>54</v>
      </c>
      <c r="D428" s="2" t="s">
        <v>68</v>
      </c>
      <c r="E428" s="2" t="s">
        <v>15</v>
      </c>
      <c r="F428" s="2" t="s">
        <v>7</v>
      </c>
      <c r="G428" s="2" t="s">
        <v>49</v>
      </c>
      <c r="H428" s="11" t="n">
        <v>46283</v>
      </c>
      <c r="I428" s="11" t="n">
        <v>46291</v>
      </c>
      <c r="J428" s="2" t="n">
        <f aca="false">IF(I428="","",I428-H428)</f>
        <v>8</v>
      </c>
    </row>
    <row r="429" customFormat="false" ht="15" hidden="false" customHeight="false" outlineLevel="0" collapsed="false">
      <c r="A429" s="2" t="s">
        <v>648</v>
      </c>
      <c r="B429" s="2" t="s">
        <v>474</v>
      </c>
      <c r="C429" s="2" t="s">
        <v>58</v>
      </c>
      <c r="D429" s="2" t="s">
        <v>41</v>
      </c>
      <c r="E429" s="2" t="s">
        <v>16</v>
      </c>
      <c r="F429" s="2" t="s">
        <v>7</v>
      </c>
      <c r="G429" s="2" t="s">
        <v>42</v>
      </c>
      <c r="H429" s="11" t="n">
        <v>46226</v>
      </c>
      <c r="I429" s="11" t="n">
        <v>46229</v>
      </c>
      <c r="J429" s="2" t="n">
        <f aca="false">IF(I429="","",I429-H429)</f>
        <v>3</v>
      </c>
    </row>
    <row r="430" customFormat="false" ht="15" hidden="false" customHeight="false" outlineLevel="0" collapsed="false">
      <c r="A430" s="2" t="s">
        <v>649</v>
      </c>
      <c r="B430" s="2" t="s">
        <v>341</v>
      </c>
      <c r="C430" s="2" t="s">
        <v>35</v>
      </c>
      <c r="D430" s="2" t="s">
        <v>68</v>
      </c>
      <c r="E430" s="2" t="s">
        <v>17</v>
      </c>
      <c r="F430" s="2" t="s">
        <v>8</v>
      </c>
      <c r="G430" s="2" t="s">
        <v>55</v>
      </c>
      <c r="H430" s="11" t="n">
        <v>46305</v>
      </c>
      <c r="I430" s="11" t="n">
        <v>46306</v>
      </c>
      <c r="J430" s="2" t="n">
        <f aca="false">IF(I430="","",I430-H430)</f>
        <v>1</v>
      </c>
    </row>
    <row r="431" customFormat="false" ht="15" hidden="false" customHeight="false" outlineLevel="0" collapsed="false">
      <c r="A431" s="2" t="s">
        <v>650</v>
      </c>
      <c r="B431" s="2" t="s">
        <v>168</v>
      </c>
      <c r="C431" s="2" t="s">
        <v>35</v>
      </c>
      <c r="D431" s="2" t="s">
        <v>41</v>
      </c>
      <c r="E431" s="2" t="s">
        <v>15</v>
      </c>
      <c r="F431" s="2" t="s">
        <v>7</v>
      </c>
      <c r="G431" s="2" t="s">
        <v>37</v>
      </c>
      <c r="H431" s="11" t="n">
        <v>46287</v>
      </c>
      <c r="I431" s="11" t="n">
        <v>46295</v>
      </c>
      <c r="J431" s="2" t="n">
        <f aca="false">IF(I431="","",I431-H431)</f>
        <v>8</v>
      </c>
    </row>
    <row r="432" customFormat="false" ht="15" hidden="false" customHeight="false" outlineLevel="0" collapsed="false">
      <c r="A432" s="2" t="s">
        <v>651</v>
      </c>
      <c r="B432" s="2" t="s">
        <v>322</v>
      </c>
      <c r="C432" s="2" t="s">
        <v>45</v>
      </c>
      <c r="D432" s="2" t="s">
        <v>48</v>
      </c>
      <c r="E432" s="2" t="s">
        <v>15</v>
      </c>
      <c r="F432" s="2" t="s">
        <v>7</v>
      </c>
      <c r="G432" s="2" t="s">
        <v>55</v>
      </c>
      <c r="H432" s="11" t="n">
        <v>46256</v>
      </c>
      <c r="I432" s="11" t="n">
        <v>46267</v>
      </c>
      <c r="J432" s="2" t="n">
        <f aca="false">IF(I432="","",I432-H432)</f>
        <v>11</v>
      </c>
    </row>
    <row r="433" customFormat="false" ht="15" hidden="false" customHeight="false" outlineLevel="0" collapsed="false">
      <c r="A433" s="2" t="s">
        <v>652</v>
      </c>
      <c r="B433" s="2" t="s">
        <v>252</v>
      </c>
      <c r="C433" s="2" t="s">
        <v>40</v>
      </c>
      <c r="D433" s="2" t="s">
        <v>41</v>
      </c>
      <c r="E433" s="2" t="s">
        <v>15</v>
      </c>
      <c r="F433" s="2" t="s">
        <v>7</v>
      </c>
      <c r="G433" s="2" t="s">
        <v>37</v>
      </c>
      <c r="H433" s="11" t="n">
        <v>46222</v>
      </c>
      <c r="I433" s="11" t="n">
        <v>46228</v>
      </c>
      <c r="J433" s="2" t="n">
        <f aca="false">IF(I433="","",I433-H433)</f>
        <v>6</v>
      </c>
    </row>
    <row r="434" customFormat="false" ht="15" hidden="false" customHeight="false" outlineLevel="0" collapsed="false">
      <c r="A434" s="2" t="s">
        <v>653</v>
      </c>
      <c r="B434" s="2" t="s">
        <v>360</v>
      </c>
      <c r="C434" s="2" t="s">
        <v>40</v>
      </c>
      <c r="D434" s="2" t="s">
        <v>68</v>
      </c>
      <c r="E434" s="2" t="s">
        <v>16</v>
      </c>
      <c r="F434" s="2" t="s">
        <v>7</v>
      </c>
      <c r="G434" s="2" t="s">
        <v>49</v>
      </c>
      <c r="H434" s="11" t="n">
        <v>46281</v>
      </c>
      <c r="I434" s="11" t="n">
        <v>46293</v>
      </c>
      <c r="J434" s="2" t="n">
        <f aca="false">IF(I434="","",I434-H434)</f>
        <v>12</v>
      </c>
    </row>
    <row r="435" customFormat="false" ht="15" hidden="false" customHeight="false" outlineLevel="0" collapsed="false">
      <c r="A435" s="2" t="s">
        <v>654</v>
      </c>
      <c r="B435" s="2" t="s">
        <v>376</v>
      </c>
      <c r="C435" s="2" t="s">
        <v>35</v>
      </c>
      <c r="D435" s="2" t="s">
        <v>41</v>
      </c>
      <c r="E435" s="2" t="s">
        <v>15</v>
      </c>
      <c r="F435" s="2" t="s">
        <v>7</v>
      </c>
      <c r="G435" s="2" t="s">
        <v>42</v>
      </c>
      <c r="H435" s="11" t="n">
        <v>46278</v>
      </c>
      <c r="I435" s="11" t="n">
        <v>46287</v>
      </c>
      <c r="J435" s="2" t="n">
        <f aca="false">IF(I435="","",I435-H435)</f>
        <v>9</v>
      </c>
    </row>
    <row r="436" customFormat="false" ht="15" hidden="false" customHeight="false" outlineLevel="0" collapsed="false">
      <c r="A436" s="2" t="s">
        <v>655</v>
      </c>
      <c r="B436" s="2" t="s">
        <v>72</v>
      </c>
      <c r="C436" s="2" t="s">
        <v>45</v>
      </c>
      <c r="D436" s="2" t="s">
        <v>36</v>
      </c>
      <c r="E436" s="2" t="s">
        <v>15</v>
      </c>
      <c r="F436" s="2" t="s">
        <v>7</v>
      </c>
      <c r="G436" s="2" t="s">
        <v>42</v>
      </c>
      <c r="H436" s="11" t="n">
        <v>46311</v>
      </c>
      <c r="I436" s="11" t="n">
        <v>46313</v>
      </c>
      <c r="J436" s="2" t="n">
        <f aca="false">IF(I436="","",I436-H436)</f>
        <v>2</v>
      </c>
    </row>
    <row r="437" customFormat="false" ht="15" hidden="false" customHeight="false" outlineLevel="0" collapsed="false">
      <c r="A437" s="2" t="s">
        <v>656</v>
      </c>
      <c r="B437" s="2" t="s">
        <v>325</v>
      </c>
      <c r="C437" s="2" t="s">
        <v>45</v>
      </c>
      <c r="D437" s="2" t="s">
        <v>48</v>
      </c>
      <c r="E437" s="2" t="s">
        <v>16</v>
      </c>
      <c r="F437" s="2" t="s">
        <v>7</v>
      </c>
      <c r="G437" s="2" t="s">
        <v>37</v>
      </c>
      <c r="H437" s="11" t="n">
        <v>46226</v>
      </c>
      <c r="I437" s="11" t="n">
        <v>46233</v>
      </c>
      <c r="J437" s="2" t="n">
        <f aca="false">IF(I437="","",I437-H437)</f>
        <v>7</v>
      </c>
    </row>
    <row r="438" customFormat="false" ht="15" hidden="false" customHeight="false" outlineLevel="0" collapsed="false">
      <c r="A438" s="2" t="s">
        <v>657</v>
      </c>
      <c r="B438" s="2" t="s">
        <v>423</v>
      </c>
      <c r="C438" s="2" t="s">
        <v>58</v>
      </c>
      <c r="D438" s="2" t="s">
        <v>48</v>
      </c>
      <c r="E438" s="2" t="s">
        <v>16</v>
      </c>
      <c r="F438" s="2" t="s">
        <v>7</v>
      </c>
      <c r="G438" s="2" t="s">
        <v>49</v>
      </c>
      <c r="H438" s="11" t="n">
        <v>46305</v>
      </c>
      <c r="I438" s="11" t="n">
        <v>46308</v>
      </c>
      <c r="J438" s="2" t="n">
        <f aca="false">IF(I438="","",I438-H438)</f>
        <v>3</v>
      </c>
    </row>
    <row r="439" customFormat="false" ht="15" hidden="false" customHeight="false" outlineLevel="0" collapsed="false">
      <c r="A439" s="2" t="s">
        <v>658</v>
      </c>
      <c r="B439" s="2" t="s">
        <v>466</v>
      </c>
      <c r="C439" s="2" t="s">
        <v>45</v>
      </c>
      <c r="D439" s="2" t="s">
        <v>68</v>
      </c>
      <c r="E439" s="2" t="s">
        <v>15</v>
      </c>
      <c r="F439" s="2" t="s">
        <v>7</v>
      </c>
      <c r="G439" s="2" t="s">
        <v>55</v>
      </c>
      <c r="H439" s="11" t="n">
        <v>46307</v>
      </c>
      <c r="I439" s="11" t="n">
        <v>46317</v>
      </c>
      <c r="J439" s="2" t="n">
        <f aca="false">IF(I439="","",I439-H439)</f>
        <v>10</v>
      </c>
    </row>
    <row r="440" customFormat="false" ht="15" hidden="false" customHeight="false" outlineLevel="0" collapsed="false">
      <c r="A440" s="2" t="s">
        <v>659</v>
      </c>
      <c r="B440" s="2" t="s">
        <v>354</v>
      </c>
      <c r="C440" s="2" t="s">
        <v>45</v>
      </c>
      <c r="D440" s="2" t="s">
        <v>48</v>
      </c>
      <c r="E440" s="2" t="s">
        <v>15</v>
      </c>
      <c r="F440" s="2" t="s">
        <v>7</v>
      </c>
      <c r="G440" s="2" t="s">
        <v>37</v>
      </c>
      <c r="H440" s="11" t="n">
        <v>46217</v>
      </c>
      <c r="I440" s="11" t="n">
        <v>46229</v>
      </c>
      <c r="J440" s="2" t="n">
        <f aca="false">IF(I440="","",I440-H440)</f>
        <v>12</v>
      </c>
    </row>
    <row r="441" customFormat="false" ht="15" hidden="false" customHeight="false" outlineLevel="0" collapsed="false">
      <c r="A441" s="2" t="s">
        <v>660</v>
      </c>
      <c r="B441" s="2" t="s">
        <v>230</v>
      </c>
      <c r="C441" s="2" t="s">
        <v>54</v>
      </c>
      <c r="D441" s="2" t="s">
        <v>68</v>
      </c>
      <c r="E441" s="2" t="s">
        <v>17</v>
      </c>
      <c r="F441" s="2" t="s">
        <v>6</v>
      </c>
      <c r="G441" s="2" t="s">
        <v>42</v>
      </c>
      <c r="H441" s="11" t="n">
        <v>46317</v>
      </c>
      <c r="I441" s="11"/>
      <c r="J441" s="2" t="str">
        <f aca="false">IF(I441="","",I441-H441)</f>
        <v/>
      </c>
    </row>
    <row r="442" customFormat="false" ht="15" hidden="false" customHeight="false" outlineLevel="0" collapsed="false">
      <c r="A442" s="2" t="s">
        <v>661</v>
      </c>
      <c r="B442" s="2" t="s">
        <v>335</v>
      </c>
      <c r="C442" s="2" t="s">
        <v>40</v>
      </c>
      <c r="D442" s="2" t="s">
        <v>48</v>
      </c>
      <c r="E442" s="2" t="s">
        <v>15</v>
      </c>
      <c r="F442" s="2" t="s">
        <v>7</v>
      </c>
      <c r="G442" s="2" t="s">
        <v>42</v>
      </c>
      <c r="H442" s="11" t="n">
        <v>46308</v>
      </c>
      <c r="I442" s="11" t="n">
        <v>46319</v>
      </c>
      <c r="J442" s="2" t="n">
        <f aca="false">IF(I442="","",I442-H442)</f>
        <v>11</v>
      </c>
    </row>
    <row r="443" customFormat="false" ht="15" hidden="false" customHeight="false" outlineLevel="0" collapsed="false">
      <c r="A443" s="2" t="s">
        <v>662</v>
      </c>
      <c r="B443" s="2" t="s">
        <v>84</v>
      </c>
      <c r="C443" s="2" t="s">
        <v>54</v>
      </c>
      <c r="D443" s="2" t="s">
        <v>48</v>
      </c>
      <c r="E443" s="2" t="s">
        <v>15</v>
      </c>
      <c r="F443" s="2" t="s">
        <v>7</v>
      </c>
      <c r="G443" s="2" t="s">
        <v>42</v>
      </c>
      <c r="H443" s="11" t="n">
        <v>46289</v>
      </c>
      <c r="I443" s="11" t="n">
        <v>46300</v>
      </c>
      <c r="J443" s="2" t="n">
        <f aca="false">IF(I443="","",I443-H443)</f>
        <v>11</v>
      </c>
    </row>
    <row r="444" customFormat="false" ht="15" hidden="false" customHeight="false" outlineLevel="0" collapsed="false">
      <c r="A444" s="2" t="s">
        <v>663</v>
      </c>
      <c r="B444" s="2" t="s">
        <v>84</v>
      </c>
      <c r="C444" s="2" t="s">
        <v>35</v>
      </c>
      <c r="D444" s="2" t="s">
        <v>48</v>
      </c>
      <c r="E444" s="2" t="s">
        <v>16</v>
      </c>
      <c r="F444" s="2" t="s">
        <v>7</v>
      </c>
      <c r="G444" s="2" t="s">
        <v>55</v>
      </c>
      <c r="H444" s="11" t="n">
        <v>46292</v>
      </c>
      <c r="I444" s="11" t="n">
        <v>46304</v>
      </c>
      <c r="J444" s="2" t="n">
        <f aca="false">IF(I444="","",I444-H444)</f>
        <v>12</v>
      </c>
    </row>
    <row r="445" customFormat="false" ht="15" hidden="false" customHeight="false" outlineLevel="0" collapsed="false">
      <c r="A445" s="2" t="s">
        <v>664</v>
      </c>
      <c r="B445" s="2" t="s">
        <v>65</v>
      </c>
      <c r="C445" s="2" t="s">
        <v>45</v>
      </c>
      <c r="D445" s="2" t="s">
        <v>48</v>
      </c>
      <c r="E445" s="2" t="s">
        <v>15</v>
      </c>
      <c r="F445" s="2" t="s">
        <v>6</v>
      </c>
      <c r="G445" s="2" t="s">
        <v>49</v>
      </c>
      <c r="H445" s="11" t="n">
        <v>46299</v>
      </c>
      <c r="I445" s="11"/>
      <c r="J445" s="2" t="str">
        <f aca="false">IF(I445="","",I445-H445)</f>
        <v/>
      </c>
    </row>
    <row r="446" customFormat="false" ht="15" hidden="false" customHeight="false" outlineLevel="0" collapsed="false">
      <c r="A446" s="2" t="s">
        <v>665</v>
      </c>
      <c r="B446" s="2" t="s">
        <v>666</v>
      </c>
      <c r="C446" s="2" t="s">
        <v>35</v>
      </c>
      <c r="D446" s="2" t="s">
        <v>68</v>
      </c>
      <c r="E446" s="2" t="s">
        <v>15</v>
      </c>
      <c r="F446" s="2" t="s">
        <v>7</v>
      </c>
      <c r="G446" s="2" t="s">
        <v>49</v>
      </c>
      <c r="H446" s="11" t="n">
        <v>46237</v>
      </c>
      <c r="I446" s="11" t="n">
        <v>46248</v>
      </c>
      <c r="J446" s="2" t="n">
        <f aca="false">IF(I446="","",I446-H446)</f>
        <v>11</v>
      </c>
    </row>
    <row r="447" customFormat="false" ht="15" hidden="false" customHeight="false" outlineLevel="0" collapsed="false">
      <c r="A447" s="2" t="s">
        <v>667</v>
      </c>
      <c r="B447" s="2" t="s">
        <v>125</v>
      </c>
      <c r="C447" s="2" t="s">
        <v>58</v>
      </c>
      <c r="D447" s="2" t="s">
        <v>41</v>
      </c>
      <c r="E447" s="2" t="s">
        <v>17</v>
      </c>
      <c r="F447" s="2" t="s">
        <v>7</v>
      </c>
      <c r="G447" s="2" t="s">
        <v>49</v>
      </c>
      <c r="H447" s="11" t="n">
        <v>46217</v>
      </c>
      <c r="I447" s="11" t="n">
        <v>46229</v>
      </c>
      <c r="J447" s="2" t="n">
        <f aca="false">IF(I447="","",I447-H447)</f>
        <v>12</v>
      </c>
    </row>
    <row r="448" customFormat="false" ht="15" hidden="false" customHeight="false" outlineLevel="0" collapsed="false">
      <c r="A448" s="2" t="s">
        <v>668</v>
      </c>
      <c r="B448" s="2" t="s">
        <v>287</v>
      </c>
      <c r="C448" s="2" t="s">
        <v>58</v>
      </c>
      <c r="D448" s="2" t="s">
        <v>41</v>
      </c>
      <c r="E448" s="2" t="s">
        <v>15</v>
      </c>
      <c r="F448" s="2" t="s">
        <v>7</v>
      </c>
      <c r="G448" s="2" t="s">
        <v>37</v>
      </c>
      <c r="H448" s="11" t="n">
        <v>46278</v>
      </c>
      <c r="I448" s="11" t="n">
        <v>46284</v>
      </c>
      <c r="J448" s="2" t="n">
        <f aca="false">IF(I448="","",I448-H448)</f>
        <v>6</v>
      </c>
    </row>
    <row r="449" customFormat="false" ht="15" hidden="false" customHeight="false" outlineLevel="0" collapsed="false">
      <c r="A449" s="2" t="s">
        <v>669</v>
      </c>
      <c r="B449" s="2" t="s">
        <v>270</v>
      </c>
      <c r="C449" s="2" t="s">
        <v>58</v>
      </c>
      <c r="D449" s="2" t="s">
        <v>36</v>
      </c>
      <c r="E449" s="2" t="s">
        <v>15</v>
      </c>
      <c r="F449" s="2" t="s">
        <v>7</v>
      </c>
      <c r="G449" s="2" t="s">
        <v>37</v>
      </c>
      <c r="H449" s="11" t="n">
        <v>46229</v>
      </c>
      <c r="I449" s="11" t="n">
        <v>46231</v>
      </c>
      <c r="J449" s="2" t="n">
        <f aca="false">IF(I449="","",I449-H449)</f>
        <v>2</v>
      </c>
    </row>
    <row r="450" customFormat="false" ht="15" hidden="false" customHeight="false" outlineLevel="0" collapsed="false">
      <c r="A450" s="2" t="s">
        <v>670</v>
      </c>
      <c r="B450" s="2" t="s">
        <v>130</v>
      </c>
      <c r="C450" s="2" t="s">
        <v>45</v>
      </c>
      <c r="D450" s="2" t="s">
        <v>48</v>
      </c>
      <c r="E450" s="2" t="s">
        <v>17</v>
      </c>
      <c r="F450" s="2" t="s">
        <v>7</v>
      </c>
      <c r="G450" s="2" t="s">
        <v>37</v>
      </c>
      <c r="H450" s="11" t="n">
        <v>46286</v>
      </c>
      <c r="I450" s="11" t="n">
        <v>46293</v>
      </c>
      <c r="J450" s="2" t="n">
        <f aca="false">IF(I450="","",I450-H450)</f>
        <v>7</v>
      </c>
    </row>
    <row r="451" customFormat="false" ht="15" hidden="false" customHeight="false" outlineLevel="0" collapsed="false">
      <c r="A451" s="2" t="s">
        <v>671</v>
      </c>
      <c r="B451" s="2" t="s">
        <v>181</v>
      </c>
      <c r="C451" s="2" t="s">
        <v>54</v>
      </c>
      <c r="D451" s="2" t="s">
        <v>36</v>
      </c>
      <c r="E451" s="2" t="s">
        <v>15</v>
      </c>
      <c r="F451" s="2" t="s">
        <v>7</v>
      </c>
      <c r="G451" s="2" t="s">
        <v>55</v>
      </c>
      <c r="H451" s="11" t="n">
        <v>46208</v>
      </c>
      <c r="I451" s="11" t="n">
        <v>46215</v>
      </c>
      <c r="J451" s="2" t="n">
        <f aca="false">IF(I451="","",I451-H451)</f>
        <v>7</v>
      </c>
    </row>
    <row r="452" customFormat="false" ht="15" hidden="false" customHeight="false" outlineLevel="0" collapsed="false">
      <c r="A452" s="2" t="s">
        <v>672</v>
      </c>
      <c r="B452" s="2" t="s">
        <v>149</v>
      </c>
      <c r="C452" s="2" t="s">
        <v>45</v>
      </c>
      <c r="D452" s="2" t="s">
        <v>41</v>
      </c>
      <c r="E452" s="2" t="s">
        <v>16</v>
      </c>
      <c r="F452" s="2" t="s">
        <v>6</v>
      </c>
      <c r="G452" s="2" t="s">
        <v>55</v>
      </c>
      <c r="H452" s="11" t="n">
        <v>46316</v>
      </c>
      <c r="I452" s="11"/>
      <c r="J452" s="2" t="str">
        <f aca="false">IF(I452="","",I452-H452)</f>
        <v/>
      </c>
    </row>
    <row r="453" customFormat="false" ht="15" hidden="false" customHeight="false" outlineLevel="0" collapsed="false">
      <c r="A453" s="2" t="s">
        <v>673</v>
      </c>
      <c r="B453" s="2" t="s">
        <v>168</v>
      </c>
      <c r="C453" s="2" t="s">
        <v>40</v>
      </c>
      <c r="D453" s="2" t="s">
        <v>68</v>
      </c>
      <c r="E453" s="2" t="s">
        <v>17</v>
      </c>
      <c r="F453" s="2" t="s">
        <v>7</v>
      </c>
      <c r="G453" s="2" t="s">
        <v>42</v>
      </c>
      <c r="H453" s="11" t="n">
        <v>46282</v>
      </c>
      <c r="I453" s="11" t="n">
        <v>46286</v>
      </c>
      <c r="J453" s="2" t="n">
        <f aca="false">IF(I453="","",I453-H453)</f>
        <v>4</v>
      </c>
    </row>
    <row r="454" customFormat="false" ht="15" hidden="false" customHeight="false" outlineLevel="0" collapsed="false">
      <c r="A454" s="2" t="s">
        <v>674</v>
      </c>
      <c r="B454" s="2" t="s">
        <v>581</v>
      </c>
      <c r="C454" s="2" t="s">
        <v>45</v>
      </c>
      <c r="D454" s="2" t="s">
        <v>41</v>
      </c>
      <c r="E454" s="2" t="s">
        <v>15</v>
      </c>
      <c r="F454" s="2" t="s">
        <v>8</v>
      </c>
      <c r="G454" s="2" t="s">
        <v>37</v>
      </c>
      <c r="H454" s="11" t="n">
        <v>46321</v>
      </c>
      <c r="I454" s="11" t="n">
        <v>46322</v>
      </c>
      <c r="J454" s="2" t="n">
        <f aca="false">IF(I454="","",I454-H454)</f>
        <v>1</v>
      </c>
    </row>
    <row r="455" customFormat="false" ht="15" hidden="false" customHeight="false" outlineLevel="0" collapsed="false">
      <c r="A455" s="2" t="s">
        <v>675</v>
      </c>
      <c r="B455" s="2" t="s">
        <v>498</v>
      </c>
      <c r="C455" s="2" t="s">
        <v>40</v>
      </c>
      <c r="D455" s="2" t="s">
        <v>36</v>
      </c>
      <c r="E455" s="2" t="s">
        <v>16</v>
      </c>
      <c r="F455" s="2" t="s">
        <v>7</v>
      </c>
      <c r="G455" s="2" t="s">
        <v>42</v>
      </c>
      <c r="H455" s="11" t="n">
        <v>46227</v>
      </c>
      <c r="I455" s="11" t="n">
        <v>46229</v>
      </c>
      <c r="J455" s="2" t="n">
        <f aca="false">IF(I455="","",I455-H455)</f>
        <v>2</v>
      </c>
    </row>
    <row r="456" customFormat="false" ht="15" hidden="false" customHeight="false" outlineLevel="0" collapsed="false">
      <c r="A456" s="2" t="s">
        <v>676</v>
      </c>
      <c r="B456" s="2" t="s">
        <v>677</v>
      </c>
      <c r="C456" s="2" t="s">
        <v>40</v>
      </c>
      <c r="D456" s="2" t="s">
        <v>36</v>
      </c>
      <c r="E456" s="2" t="s">
        <v>17</v>
      </c>
      <c r="F456" s="2" t="s">
        <v>7</v>
      </c>
      <c r="G456" s="2" t="s">
        <v>49</v>
      </c>
      <c r="H456" s="11" t="n">
        <v>46211</v>
      </c>
      <c r="I456" s="11" t="n">
        <v>46218</v>
      </c>
      <c r="J456" s="2" t="n">
        <f aca="false">IF(I456="","",I456-H456)</f>
        <v>7</v>
      </c>
    </row>
    <row r="457" customFormat="false" ht="15" hidden="false" customHeight="false" outlineLevel="0" collapsed="false">
      <c r="A457" s="2" t="s">
        <v>678</v>
      </c>
      <c r="B457" s="2" t="s">
        <v>679</v>
      </c>
      <c r="C457" s="2" t="s">
        <v>58</v>
      </c>
      <c r="D457" s="2" t="s">
        <v>41</v>
      </c>
      <c r="E457" s="2" t="s">
        <v>17</v>
      </c>
      <c r="F457" s="2" t="s">
        <v>7</v>
      </c>
      <c r="G457" s="2" t="s">
        <v>37</v>
      </c>
      <c r="H457" s="11" t="n">
        <v>46216</v>
      </c>
      <c r="I457" s="11" t="n">
        <v>46223</v>
      </c>
      <c r="J457" s="2" t="n">
        <f aca="false">IF(I457="","",I457-H457)</f>
        <v>7</v>
      </c>
    </row>
    <row r="458" customFormat="false" ht="15" hidden="false" customHeight="false" outlineLevel="0" collapsed="false">
      <c r="A458" s="2" t="s">
        <v>680</v>
      </c>
      <c r="B458" s="2" t="s">
        <v>135</v>
      </c>
      <c r="C458" s="2" t="s">
        <v>54</v>
      </c>
      <c r="D458" s="2" t="s">
        <v>41</v>
      </c>
      <c r="E458" s="2" t="s">
        <v>15</v>
      </c>
      <c r="F458" s="2" t="s">
        <v>8</v>
      </c>
      <c r="G458" s="2" t="s">
        <v>37</v>
      </c>
      <c r="H458" s="11" t="n">
        <v>46309</v>
      </c>
      <c r="I458" s="11" t="n">
        <v>46311</v>
      </c>
      <c r="J458" s="2" t="n">
        <f aca="false">IF(I458="","",I458-H458)</f>
        <v>2</v>
      </c>
    </row>
    <row r="459" customFormat="false" ht="15" hidden="false" customHeight="false" outlineLevel="0" collapsed="false">
      <c r="A459" s="2" t="s">
        <v>681</v>
      </c>
      <c r="B459" s="2" t="s">
        <v>349</v>
      </c>
      <c r="C459" s="2" t="s">
        <v>54</v>
      </c>
      <c r="D459" s="2" t="s">
        <v>48</v>
      </c>
      <c r="E459" s="2" t="s">
        <v>16</v>
      </c>
      <c r="F459" s="2" t="s">
        <v>7</v>
      </c>
      <c r="G459" s="2" t="s">
        <v>37</v>
      </c>
      <c r="H459" s="11" t="n">
        <v>46249</v>
      </c>
      <c r="I459" s="11" t="n">
        <v>46259</v>
      </c>
      <c r="J459" s="2" t="n">
        <f aca="false">IF(I459="","",I459-H459)</f>
        <v>10</v>
      </c>
    </row>
    <row r="460" customFormat="false" ht="15" hidden="false" customHeight="false" outlineLevel="0" collapsed="false">
      <c r="A460" s="2" t="s">
        <v>682</v>
      </c>
      <c r="B460" s="2" t="s">
        <v>456</v>
      </c>
      <c r="C460" s="2" t="s">
        <v>54</v>
      </c>
      <c r="D460" s="2" t="s">
        <v>36</v>
      </c>
      <c r="E460" s="2" t="s">
        <v>15</v>
      </c>
      <c r="F460" s="2" t="s">
        <v>7</v>
      </c>
      <c r="G460" s="2" t="s">
        <v>55</v>
      </c>
      <c r="H460" s="11" t="n">
        <v>46303</v>
      </c>
      <c r="I460" s="11" t="n">
        <v>46308</v>
      </c>
      <c r="J460" s="2" t="n">
        <f aca="false">IF(I460="","",I460-H460)</f>
        <v>5</v>
      </c>
    </row>
    <row r="461" customFormat="false" ht="15" hidden="false" customHeight="false" outlineLevel="0" collapsed="false">
      <c r="A461" s="2" t="s">
        <v>683</v>
      </c>
      <c r="B461" s="2" t="s">
        <v>329</v>
      </c>
      <c r="C461" s="2" t="s">
        <v>40</v>
      </c>
      <c r="D461" s="2" t="s">
        <v>68</v>
      </c>
      <c r="E461" s="2" t="s">
        <v>16</v>
      </c>
      <c r="F461" s="2" t="s">
        <v>8</v>
      </c>
      <c r="G461" s="2" t="s">
        <v>49</v>
      </c>
      <c r="H461" s="11" t="n">
        <v>46279</v>
      </c>
      <c r="I461" s="11" t="n">
        <v>46285</v>
      </c>
      <c r="J461" s="2" t="n">
        <f aca="false">IF(I461="","",I461-H461)</f>
        <v>6</v>
      </c>
    </row>
    <row r="462" customFormat="false" ht="15" hidden="false" customHeight="false" outlineLevel="0" collapsed="false">
      <c r="A462" s="2" t="s">
        <v>684</v>
      </c>
      <c r="B462" s="2" t="s">
        <v>239</v>
      </c>
      <c r="C462" s="2" t="s">
        <v>40</v>
      </c>
      <c r="D462" s="2" t="s">
        <v>68</v>
      </c>
      <c r="E462" s="2" t="s">
        <v>15</v>
      </c>
      <c r="F462" s="2" t="s">
        <v>7</v>
      </c>
      <c r="G462" s="2" t="s">
        <v>42</v>
      </c>
      <c r="H462" s="11" t="n">
        <v>46276</v>
      </c>
      <c r="I462" s="11" t="n">
        <v>46285</v>
      </c>
      <c r="J462" s="2" t="n">
        <f aca="false">IF(I462="","",I462-H462)</f>
        <v>9</v>
      </c>
    </row>
    <row r="463" customFormat="false" ht="15" hidden="false" customHeight="false" outlineLevel="0" collapsed="false">
      <c r="A463" s="2" t="s">
        <v>685</v>
      </c>
      <c r="B463" s="2" t="s">
        <v>569</v>
      </c>
      <c r="C463" s="2" t="s">
        <v>58</v>
      </c>
      <c r="D463" s="2" t="s">
        <v>68</v>
      </c>
      <c r="E463" s="2" t="s">
        <v>15</v>
      </c>
      <c r="F463" s="2" t="s">
        <v>7</v>
      </c>
      <c r="G463" s="2" t="s">
        <v>37</v>
      </c>
      <c r="H463" s="11" t="n">
        <v>46232</v>
      </c>
      <c r="I463" s="11" t="n">
        <v>46241</v>
      </c>
      <c r="J463" s="2" t="n">
        <f aca="false">IF(I463="","",I463-H463)</f>
        <v>9</v>
      </c>
    </row>
    <row r="464" customFormat="false" ht="15" hidden="false" customHeight="false" outlineLevel="0" collapsed="false">
      <c r="A464" s="2" t="s">
        <v>686</v>
      </c>
      <c r="B464" s="2" t="s">
        <v>563</v>
      </c>
      <c r="C464" s="2" t="s">
        <v>58</v>
      </c>
      <c r="D464" s="2" t="s">
        <v>41</v>
      </c>
      <c r="E464" s="2" t="s">
        <v>15</v>
      </c>
      <c r="F464" s="2" t="s">
        <v>8</v>
      </c>
      <c r="G464" s="2" t="s">
        <v>37</v>
      </c>
      <c r="H464" s="11" t="n">
        <v>46295</v>
      </c>
      <c r="I464" s="11" t="n">
        <v>46305</v>
      </c>
      <c r="J464" s="2" t="n">
        <f aca="false">IF(I464="","",I464-H464)</f>
        <v>10</v>
      </c>
    </row>
    <row r="465" customFormat="false" ht="15" hidden="false" customHeight="false" outlineLevel="0" collapsed="false">
      <c r="A465" s="2" t="s">
        <v>687</v>
      </c>
      <c r="B465" s="2" t="s">
        <v>144</v>
      </c>
      <c r="C465" s="2" t="s">
        <v>54</v>
      </c>
      <c r="D465" s="2" t="s">
        <v>68</v>
      </c>
      <c r="E465" s="2" t="s">
        <v>15</v>
      </c>
      <c r="F465" s="2" t="s">
        <v>6</v>
      </c>
      <c r="G465" s="2" t="s">
        <v>49</v>
      </c>
      <c r="H465" s="11" t="n">
        <v>46236</v>
      </c>
      <c r="I465" s="11"/>
      <c r="J465" s="2" t="str">
        <f aca="false">IF(I465="","",I465-H465)</f>
        <v/>
      </c>
    </row>
    <row r="466" customFormat="false" ht="15" hidden="false" customHeight="false" outlineLevel="0" collapsed="false">
      <c r="A466" s="2" t="s">
        <v>688</v>
      </c>
      <c r="B466" s="2" t="s">
        <v>689</v>
      </c>
      <c r="C466" s="2" t="s">
        <v>40</v>
      </c>
      <c r="D466" s="2" t="s">
        <v>48</v>
      </c>
      <c r="E466" s="2" t="s">
        <v>16</v>
      </c>
      <c r="F466" s="2" t="s">
        <v>6</v>
      </c>
      <c r="G466" s="2" t="s">
        <v>42</v>
      </c>
      <c r="H466" s="11" t="n">
        <v>46231</v>
      </c>
      <c r="I466" s="11"/>
      <c r="J466" s="2" t="str">
        <f aca="false">IF(I466="","",I466-H466)</f>
        <v/>
      </c>
    </row>
    <row r="467" customFormat="false" ht="15" hidden="false" customHeight="false" outlineLevel="0" collapsed="false">
      <c r="A467" s="2" t="s">
        <v>690</v>
      </c>
      <c r="B467" s="2" t="s">
        <v>254</v>
      </c>
      <c r="C467" s="2" t="s">
        <v>40</v>
      </c>
      <c r="D467" s="2" t="s">
        <v>41</v>
      </c>
      <c r="E467" s="2" t="s">
        <v>15</v>
      </c>
      <c r="F467" s="2" t="s">
        <v>7</v>
      </c>
      <c r="G467" s="2" t="s">
        <v>42</v>
      </c>
      <c r="H467" s="11" t="n">
        <v>46251</v>
      </c>
      <c r="I467" s="11" t="n">
        <v>46262</v>
      </c>
      <c r="J467" s="2" t="n">
        <f aca="false">IF(I467="","",I467-H467)</f>
        <v>11</v>
      </c>
    </row>
    <row r="468" customFormat="false" ht="15" hidden="false" customHeight="false" outlineLevel="0" collapsed="false">
      <c r="A468" s="2" t="s">
        <v>691</v>
      </c>
      <c r="B468" s="2" t="s">
        <v>569</v>
      </c>
      <c r="C468" s="2" t="s">
        <v>45</v>
      </c>
      <c r="D468" s="2" t="s">
        <v>48</v>
      </c>
      <c r="E468" s="2" t="s">
        <v>15</v>
      </c>
      <c r="F468" s="2" t="s">
        <v>7</v>
      </c>
      <c r="G468" s="2" t="s">
        <v>49</v>
      </c>
      <c r="H468" s="11" t="n">
        <v>46253</v>
      </c>
      <c r="I468" s="11" t="n">
        <v>46258</v>
      </c>
      <c r="J468" s="2" t="n">
        <f aca="false">IF(I468="","",I468-H468)</f>
        <v>5</v>
      </c>
    </row>
    <row r="469" customFormat="false" ht="15" hidden="false" customHeight="false" outlineLevel="0" collapsed="false">
      <c r="A469" s="2" t="s">
        <v>692</v>
      </c>
      <c r="B469" s="2" t="s">
        <v>360</v>
      </c>
      <c r="C469" s="2" t="s">
        <v>45</v>
      </c>
      <c r="D469" s="2" t="s">
        <v>36</v>
      </c>
      <c r="E469" s="2" t="s">
        <v>16</v>
      </c>
      <c r="F469" s="2" t="s">
        <v>7</v>
      </c>
      <c r="G469" s="2" t="s">
        <v>55</v>
      </c>
      <c r="H469" s="11" t="n">
        <v>46263</v>
      </c>
      <c r="I469" s="11" t="n">
        <v>46271</v>
      </c>
      <c r="J469" s="2" t="n">
        <f aca="false">IF(I469="","",I469-H469)</f>
        <v>8</v>
      </c>
    </row>
    <row r="470" customFormat="false" ht="15" hidden="false" customHeight="false" outlineLevel="0" collapsed="false">
      <c r="A470" s="2" t="s">
        <v>693</v>
      </c>
      <c r="B470" s="2" t="s">
        <v>476</v>
      </c>
      <c r="C470" s="2" t="s">
        <v>45</v>
      </c>
      <c r="D470" s="2" t="s">
        <v>68</v>
      </c>
      <c r="E470" s="2" t="s">
        <v>15</v>
      </c>
      <c r="F470" s="2" t="s">
        <v>6</v>
      </c>
      <c r="G470" s="2" t="s">
        <v>42</v>
      </c>
      <c r="H470" s="11" t="n">
        <v>46249</v>
      </c>
      <c r="I470" s="11"/>
      <c r="J470" s="2" t="str">
        <f aca="false">IF(I470="","",I470-H470)</f>
        <v/>
      </c>
    </row>
    <row r="471" customFormat="false" ht="15" hidden="false" customHeight="false" outlineLevel="0" collapsed="false">
      <c r="A471" s="2" t="s">
        <v>694</v>
      </c>
      <c r="B471" s="2" t="s">
        <v>575</v>
      </c>
      <c r="C471" s="2" t="s">
        <v>45</v>
      </c>
      <c r="D471" s="2" t="s">
        <v>36</v>
      </c>
      <c r="E471" s="2" t="s">
        <v>15</v>
      </c>
      <c r="F471" s="2" t="s">
        <v>8</v>
      </c>
      <c r="G471" s="2" t="s">
        <v>55</v>
      </c>
      <c r="H471" s="11" t="n">
        <v>46252</v>
      </c>
      <c r="I471" s="11" t="n">
        <v>46260</v>
      </c>
      <c r="J471" s="2" t="n">
        <f aca="false">IF(I471="","",I471-H471)</f>
        <v>8</v>
      </c>
    </row>
    <row r="472" customFormat="false" ht="15" hidden="false" customHeight="false" outlineLevel="0" collapsed="false">
      <c r="A472" s="2" t="s">
        <v>695</v>
      </c>
      <c r="B472" s="2" t="s">
        <v>206</v>
      </c>
      <c r="C472" s="2" t="s">
        <v>45</v>
      </c>
      <c r="D472" s="2" t="s">
        <v>36</v>
      </c>
      <c r="E472" s="2" t="s">
        <v>15</v>
      </c>
      <c r="F472" s="2" t="s">
        <v>8</v>
      </c>
      <c r="G472" s="2" t="s">
        <v>49</v>
      </c>
      <c r="H472" s="11" t="n">
        <v>46245</v>
      </c>
      <c r="I472" s="11" t="n">
        <v>46249</v>
      </c>
      <c r="J472" s="2" t="n">
        <f aca="false">IF(I472="","",I472-H472)</f>
        <v>4</v>
      </c>
    </row>
    <row r="473" customFormat="false" ht="15" hidden="false" customHeight="false" outlineLevel="0" collapsed="false">
      <c r="A473" s="2" t="s">
        <v>696</v>
      </c>
      <c r="B473" s="2" t="s">
        <v>341</v>
      </c>
      <c r="C473" s="2" t="s">
        <v>54</v>
      </c>
      <c r="D473" s="2" t="s">
        <v>41</v>
      </c>
      <c r="E473" s="2" t="s">
        <v>15</v>
      </c>
      <c r="F473" s="2" t="s">
        <v>7</v>
      </c>
      <c r="G473" s="2" t="s">
        <v>49</v>
      </c>
      <c r="H473" s="11" t="n">
        <v>46236</v>
      </c>
      <c r="I473" s="11" t="n">
        <v>46245</v>
      </c>
      <c r="J473" s="2" t="n">
        <f aca="false">IF(I473="","",I473-H473)</f>
        <v>9</v>
      </c>
    </row>
    <row r="474" customFormat="false" ht="15" hidden="false" customHeight="false" outlineLevel="0" collapsed="false">
      <c r="A474" s="2" t="s">
        <v>697</v>
      </c>
      <c r="B474" s="2" t="s">
        <v>188</v>
      </c>
      <c r="C474" s="2" t="s">
        <v>35</v>
      </c>
      <c r="D474" s="2" t="s">
        <v>68</v>
      </c>
      <c r="E474" s="2" t="s">
        <v>15</v>
      </c>
      <c r="F474" s="2" t="s">
        <v>7</v>
      </c>
      <c r="G474" s="2" t="s">
        <v>49</v>
      </c>
      <c r="H474" s="11" t="n">
        <v>46299</v>
      </c>
      <c r="I474" s="11" t="n">
        <v>46305</v>
      </c>
      <c r="J474" s="2" t="n">
        <f aca="false">IF(I474="","",I474-H474)</f>
        <v>6</v>
      </c>
    </row>
    <row r="475" customFormat="false" ht="15" hidden="false" customHeight="false" outlineLevel="0" collapsed="false">
      <c r="A475" s="2" t="s">
        <v>698</v>
      </c>
      <c r="B475" s="2" t="s">
        <v>307</v>
      </c>
      <c r="C475" s="2" t="s">
        <v>40</v>
      </c>
      <c r="D475" s="2" t="s">
        <v>48</v>
      </c>
      <c r="E475" s="2" t="s">
        <v>15</v>
      </c>
      <c r="F475" s="2" t="s">
        <v>7</v>
      </c>
      <c r="G475" s="2" t="s">
        <v>37</v>
      </c>
      <c r="H475" s="11" t="n">
        <v>46265</v>
      </c>
      <c r="I475" s="11" t="n">
        <v>46275</v>
      </c>
      <c r="J475" s="2" t="n">
        <f aca="false">IF(I475="","",I475-H475)</f>
        <v>10</v>
      </c>
    </row>
    <row r="476" customFormat="false" ht="15" hidden="false" customHeight="false" outlineLevel="0" collapsed="false">
      <c r="A476" s="2" t="s">
        <v>699</v>
      </c>
      <c r="B476" s="2" t="s">
        <v>700</v>
      </c>
      <c r="C476" s="2" t="s">
        <v>35</v>
      </c>
      <c r="D476" s="2" t="s">
        <v>68</v>
      </c>
      <c r="E476" s="2" t="s">
        <v>17</v>
      </c>
      <c r="F476" s="2" t="s">
        <v>7</v>
      </c>
      <c r="G476" s="2" t="s">
        <v>42</v>
      </c>
      <c r="H476" s="11" t="n">
        <v>46301</v>
      </c>
      <c r="I476" s="11" t="n">
        <v>46308</v>
      </c>
      <c r="J476" s="2" t="n">
        <f aca="false">IF(I476="","",I476-H476)</f>
        <v>7</v>
      </c>
    </row>
    <row r="477" customFormat="false" ht="15" hidden="false" customHeight="false" outlineLevel="0" collapsed="false">
      <c r="A477" s="2" t="s">
        <v>701</v>
      </c>
      <c r="B477" s="2" t="s">
        <v>82</v>
      </c>
      <c r="C477" s="2" t="s">
        <v>35</v>
      </c>
      <c r="D477" s="2" t="s">
        <v>68</v>
      </c>
      <c r="E477" s="2" t="s">
        <v>16</v>
      </c>
      <c r="F477" s="2" t="s">
        <v>7</v>
      </c>
      <c r="G477" s="2" t="s">
        <v>37</v>
      </c>
      <c r="H477" s="11" t="n">
        <v>46250</v>
      </c>
      <c r="I477" s="11" t="n">
        <v>46251</v>
      </c>
      <c r="J477" s="2" t="n">
        <f aca="false">IF(I477="","",I477-H477)</f>
        <v>1</v>
      </c>
    </row>
    <row r="478" customFormat="false" ht="15" hidden="false" customHeight="false" outlineLevel="0" collapsed="false">
      <c r="A478" s="2" t="s">
        <v>702</v>
      </c>
      <c r="B478" s="2" t="s">
        <v>360</v>
      </c>
      <c r="C478" s="2" t="s">
        <v>35</v>
      </c>
      <c r="D478" s="2" t="s">
        <v>48</v>
      </c>
      <c r="E478" s="2" t="s">
        <v>15</v>
      </c>
      <c r="F478" s="2" t="s">
        <v>7</v>
      </c>
      <c r="G478" s="2" t="s">
        <v>37</v>
      </c>
      <c r="H478" s="11" t="n">
        <v>46262</v>
      </c>
      <c r="I478" s="11" t="n">
        <v>46268</v>
      </c>
      <c r="J478" s="2" t="n">
        <f aca="false">IF(I478="","",I478-H478)</f>
        <v>6</v>
      </c>
    </row>
    <row r="479" customFormat="false" ht="15" hidden="false" customHeight="false" outlineLevel="0" collapsed="false">
      <c r="A479" s="2" t="s">
        <v>703</v>
      </c>
      <c r="B479" s="2" t="s">
        <v>704</v>
      </c>
      <c r="C479" s="2" t="s">
        <v>45</v>
      </c>
      <c r="D479" s="2" t="s">
        <v>68</v>
      </c>
      <c r="E479" s="2" t="s">
        <v>15</v>
      </c>
      <c r="F479" s="2" t="s">
        <v>6</v>
      </c>
      <c r="G479" s="2" t="s">
        <v>49</v>
      </c>
      <c r="H479" s="11" t="n">
        <v>46277</v>
      </c>
      <c r="I479" s="11"/>
      <c r="J479" s="2" t="str">
        <f aca="false">IF(I479="","",I479-H479)</f>
        <v/>
      </c>
    </row>
    <row r="480" customFormat="false" ht="15" hidden="false" customHeight="false" outlineLevel="0" collapsed="false">
      <c r="A480" s="2" t="s">
        <v>705</v>
      </c>
      <c r="B480" s="2" t="s">
        <v>219</v>
      </c>
      <c r="C480" s="2" t="s">
        <v>35</v>
      </c>
      <c r="D480" s="2" t="s">
        <v>41</v>
      </c>
      <c r="E480" s="2" t="s">
        <v>15</v>
      </c>
      <c r="F480" s="2" t="s">
        <v>7</v>
      </c>
      <c r="G480" s="2" t="s">
        <v>42</v>
      </c>
      <c r="H480" s="11" t="n">
        <v>46233</v>
      </c>
      <c r="I480" s="11" t="n">
        <v>46239</v>
      </c>
      <c r="J480" s="2" t="n">
        <f aca="false">IF(I480="","",I480-H480)</f>
        <v>6</v>
      </c>
    </row>
    <row r="481" customFormat="false" ht="15" hidden="false" customHeight="false" outlineLevel="0" collapsed="false">
      <c r="A481" s="2" t="s">
        <v>706</v>
      </c>
      <c r="B481" s="2" t="s">
        <v>144</v>
      </c>
      <c r="C481" s="2" t="s">
        <v>40</v>
      </c>
      <c r="D481" s="2" t="s">
        <v>68</v>
      </c>
      <c r="E481" s="2" t="s">
        <v>15</v>
      </c>
      <c r="F481" s="2" t="s">
        <v>7</v>
      </c>
      <c r="G481" s="2" t="s">
        <v>55</v>
      </c>
      <c r="H481" s="11" t="n">
        <v>46298</v>
      </c>
      <c r="I481" s="11" t="n">
        <v>46308</v>
      </c>
      <c r="J481" s="2" t="n">
        <f aca="false">IF(I481="","",I481-H481)</f>
        <v>10</v>
      </c>
    </row>
    <row r="482" customFormat="false" ht="15" hidden="false" customHeight="false" outlineLevel="0" collapsed="false">
      <c r="A482" s="2" t="s">
        <v>707</v>
      </c>
      <c r="B482" s="2" t="s">
        <v>106</v>
      </c>
      <c r="C482" s="2" t="s">
        <v>54</v>
      </c>
      <c r="D482" s="2" t="s">
        <v>36</v>
      </c>
      <c r="E482" s="2" t="s">
        <v>15</v>
      </c>
      <c r="F482" s="2" t="s">
        <v>6</v>
      </c>
      <c r="G482" s="2" t="s">
        <v>55</v>
      </c>
      <c r="H482" s="11" t="n">
        <v>46260</v>
      </c>
      <c r="I482" s="11"/>
      <c r="J482" s="2" t="str">
        <f aca="false">IF(I482="","",I482-H482)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4" min="3" style="0" width="21"/>
  </cols>
  <sheetData>
    <row r="1" customFormat="false" ht="15" hidden="false" customHeight="false" outlineLevel="0" collapsed="false">
      <c r="A1" s="9" t="s">
        <v>25</v>
      </c>
      <c r="B1" s="9" t="s">
        <v>708</v>
      </c>
      <c r="C1" s="9" t="s">
        <v>709</v>
      </c>
      <c r="D1" s="9" t="s">
        <v>710</v>
      </c>
    </row>
    <row r="2" customFormat="false" ht="15" hidden="false" customHeight="false" outlineLevel="0" collapsed="false">
      <c r="A2" s="2" t="s">
        <v>45</v>
      </c>
      <c r="B2" s="2" t="n">
        <v>82</v>
      </c>
      <c r="C2" s="2" t="n">
        <v>7.1</v>
      </c>
      <c r="D2" s="2" t="n">
        <v>12</v>
      </c>
    </row>
    <row r="3" customFormat="false" ht="15" hidden="false" customHeight="false" outlineLevel="0" collapsed="false">
      <c r="A3" s="2" t="s">
        <v>58</v>
      </c>
      <c r="B3" s="2" t="n">
        <v>85</v>
      </c>
      <c r="C3" s="2" t="n">
        <v>7.1</v>
      </c>
      <c r="D3" s="2" t="n">
        <v>12</v>
      </c>
    </row>
    <row r="4" customFormat="false" ht="15" hidden="false" customHeight="false" outlineLevel="0" collapsed="false">
      <c r="A4" s="2" t="s">
        <v>40</v>
      </c>
      <c r="B4" s="2" t="n">
        <v>76</v>
      </c>
      <c r="C4" s="2" t="n">
        <v>6.9</v>
      </c>
      <c r="D4" s="2" t="n">
        <v>12</v>
      </c>
    </row>
    <row r="5" customFormat="false" ht="15" hidden="false" customHeight="false" outlineLevel="0" collapsed="false">
      <c r="A5" s="2" t="s">
        <v>35</v>
      </c>
      <c r="B5" s="2" t="n">
        <v>88</v>
      </c>
      <c r="C5" s="2" t="n">
        <v>6.6</v>
      </c>
      <c r="D5" s="2" t="n">
        <v>12</v>
      </c>
    </row>
    <row r="6" customFormat="false" ht="15" hidden="false" customHeight="false" outlineLevel="0" collapsed="false">
      <c r="A6" s="2" t="s">
        <v>54</v>
      </c>
      <c r="B6" s="2" t="n">
        <v>99</v>
      </c>
      <c r="C6" s="2" t="n">
        <v>6.6</v>
      </c>
      <c r="D6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5" min="3" style="0" width="10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9" t="s">
        <v>29</v>
      </c>
      <c r="B1" s="9" t="s">
        <v>711</v>
      </c>
      <c r="C1" s="9" t="s">
        <v>712</v>
      </c>
      <c r="D1" s="9" t="s">
        <v>713</v>
      </c>
      <c r="E1" s="9" t="s">
        <v>714</v>
      </c>
      <c r="F1" s="9" t="s">
        <v>709</v>
      </c>
    </row>
    <row r="2" customFormat="false" ht="15" hidden="false" customHeight="false" outlineLevel="0" collapsed="false">
      <c r="A2" s="2" t="s">
        <v>37</v>
      </c>
      <c r="B2" s="2" t="n">
        <v>130</v>
      </c>
      <c r="C2" s="2" t="n">
        <v>98</v>
      </c>
      <c r="D2" s="2" t="n">
        <v>20</v>
      </c>
      <c r="E2" s="2" t="n">
        <v>12</v>
      </c>
      <c r="F2" s="2" t="n">
        <v>7</v>
      </c>
    </row>
    <row r="3" customFormat="false" ht="15" hidden="false" customHeight="false" outlineLevel="0" collapsed="false">
      <c r="A3" s="2" t="s">
        <v>42</v>
      </c>
      <c r="B3" s="2" t="n">
        <v>120</v>
      </c>
      <c r="C3" s="2" t="n">
        <v>83</v>
      </c>
      <c r="D3" s="2" t="n">
        <v>22</v>
      </c>
      <c r="E3" s="2" t="n">
        <v>15</v>
      </c>
      <c r="F3" s="2" t="n">
        <v>6.8</v>
      </c>
    </row>
    <row r="4" customFormat="false" ht="15" hidden="false" customHeight="false" outlineLevel="0" collapsed="false">
      <c r="A4" s="2" t="s">
        <v>49</v>
      </c>
      <c r="B4" s="2" t="n">
        <v>116</v>
      </c>
      <c r="C4" s="2" t="n">
        <v>81</v>
      </c>
      <c r="D4" s="2" t="n">
        <v>19</v>
      </c>
      <c r="E4" s="2" t="n">
        <v>16</v>
      </c>
      <c r="F4" s="2" t="n">
        <v>7</v>
      </c>
    </row>
    <row r="5" customFormat="false" ht="15" hidden="false" customHeight="false" outlineLevel="0" collapsed="false">
      <c r="A5" s="2" t="s">
        <v>55</v>
      </c>
      <c r="B5" s="2" t="n">
        <v>115</v>
      </c>
      <c r="C5" s="2" t="n">
        <v>88</v>
      </c>
      <c r="D5" s="2" t="n">
        <v>19</v>
      </c>
      <c r="E5" s="2" t="n">
        <v>8</v>
      </c>
      <c r="F5" s="2" t="n">
        <v>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9" t="s">
        <v>715</v>
      </c>
      <c r="B1" s="9" t="s">
        <v>716</v>
      </c>
      <c r="C1" s="9" t="s">
        <v>712</v>
      </c>
      <c r="D1" s="9" t="s">
        <v>713</v>
      </c>
      <c r="E1" s="9" t="s">
        <v>714</v>
      </c>
    </row>
    <row r="2" customFormat="false" ht="15" hidden="false" customHeight="false" outlineLevel="0" collapsed="false">
      <c r="A2" s="2" t="s">
        <v>717</v>
      </c>
      <c r="B2" s="2" t="n">
        <v>3</v>
      </c>
      <c r="C2" s="2" t="n">
        <v>1</v>
      </c>
      <c r="D2" s="2" t="n">
        <v>1</v>
      </c>
      <c r="E2" s="2" t="n">
        <v>1</v>
      </c>
    </row>
    <row r="3" customFormat="false" ht="15" hidden="false" customHeight="false" outlineLevel="0" collapsed="false">
      <c r="A3" s="2" t="s">
        <v>718</v>
      </c>
      <c r="B3" s="2" t="n">
        <v>126</v>
      </c>
      <c r="C3" s="2" t="n">
        <v>96</v>
      </c>
      <c r="D3" s="2" t="n">
        <v>22</v>
      </c>
      <c r="E3" s="2" t="n">
        <v>8</v>
      </c>
    </row>
    <row r="4" customFormat="false" ht="15" hidden="false" customHeight="false" outlineLevel="0" collapsed="false">
      <c r="A4" s="2" t="s">
        <v>719</v>
      </c>
      <c r="B4" s="2" t="n">
        <v>119</v>
      </c>
      <c r="C4" s="2" t="n">
        <v>86</v>
      </c>
      <c r="D4" s="2" t="n">
        <v>25</v>
      </c>
      <c r="E4" s="2" t="n">
        <v>8</v>
      </c>
    </row>
    <row r="5" customFormat="false" ht="15" hidden="false" customHeight="false" outlineLevel="0" collapsed="false">
      <c r="A5" s="2" t="s">
        <v>720</v>
      </c>
      <c r="B5" s="2" t="n">
        <v>122</v>
      </c>
      <c r="C5" s="2" t="n">
        <v>96</v>
      </c>
      <c r="D5" s="2" t="n">
        <v>20</v>
      </c>
      <c r="E5" s="2" t="n">
        <v>6</v>
      </c>
    </row>
    <row r="6" customFormat="false" ht="15" hidden="false" customHeight="false" outlineLevel="0" collapsed="false">
      <c r="A6" s="2" t="s">
        <v>721</v>
      </c>
      <c r="B6" s="2" t="n">
        <v>111</v>
      </c>
      <c r="C6" s="2" t="n">
        <v>71</v>
      </c>
      <c r="D6" s="2" t="n">
        <v>12</v>
      </c>
      <c r="E6" s="2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29</v>
      </c>
      <c r="G1" s="9" t="s">
        <v>30</v>
      </c>
      <c r="H1" s="9" t="s">
        <v>722</v>
      </c>
    </row>
    <row r="2" customFormat="false" ht="15" hidden="false" customHeight="false" outlineLevel="0" collapsed="false">
      <c r="A2" s="2" t="s">
        <v>93</v>
      </c>
      <c r="B2" s="2" t="s">
        <v>94</v>
      </c>
      <c r="C2" s="2" t="s">
        <v>54</v>
      </c>
      <c r="D2" s="2" t="s">
        <v>36</v>
      </c>
      <c r="E2" s="2" t="s">
        <v>17</v>
      </c>
      <c r="F2" s="2" t="s">
        <v>42</v>
      </c>
      <c r="G2" s="11" t="s">
        <v>723</v>
      </c>
      <c r="H2" s="2" t="n">
        <v>92</v>
      </c>
    </row>
    <row r="3" customFormat="false" ht="15" hidden="false" customHeight="false" outlineLevel="0" collapsed="false">
      <c r="A3" s="2" t="s">
        <v>609</v>
      </c>
      <c r="B3" s="2" t="s">
        <v>341</v>
      </c>
      <c r="C3" s="2" t="s">
        <v>40</v>
      </c>
      <c r="D3" s="2" t="s">
        <v>68</v>
      </c>
      <c r="E3" s="2" t="s">
        <v>17</v>
      </c>
      <c r="F3" s="2" t="s">
        <v>42</v>
      </c>
      <c r="G3" s="11" t="s">
        <v>724</v>
      </c>
      <c r="H3" s="2" t="n">
        <v>53</v>
      </c>
    </row>
    <row r="4" customFormat="false" ht="15" hidden="false" customHeight="false" outlineLevel="0" collapsed="false">
      <c r="A4" s="2" t="s">
        <v>501</v>
      </c>
      <c r="B4" s="2" t="s">
        <v>502</v>
      </c>
      <c r="C4" s="2" t="s">
        <v>54</v>
      </c>
      <c r="D4" s="2" t="s">
        <v>68</v>
      </c>
      <c r="E4" s="2" t="s">
        <v>17</v>
      </c>
      <c r="F4" s="2" t="s">
        <v>49</v>
      </c>
      <c r="G4" s="11" t="s">
        <v>725</v>
      </c>
      <c r="H4" s="2" t="n">
        <v>46</v>
      </c>
    </row>
    <row r="5" customFormat="false" ht="15" hidden="false" customHeight="false" outlineLevel="0" collapsed="false">
      <c r="A5" s="2" t="s">
        <v>381</v>
      </c>
      <c r="B5" s="2" t="s">
        <v>60</v>
      </c>
      <c r="C5" s="2" t="s">
        <v>45</v>
      </c>
      <c r="D5" s="2" t="s">
        <v>48</v>
      </c>
      <c r="E5" s="2" t="s">
        <v>17</v>
      </c>
      <c r="F5" s="2" t="s">
        <v>37</v>
      </c>
      <c r="G5" s="11" t="s">
        <v>726</v>
      </c>
      <c r="H5" s="2" t="n">
        <v>9</v>
      </c>
    </row>
    <row r="6" customFormat="false" ht="15" hidden="false" customHeight="false" outlineLevel="0" collapsed="false">
      <c r="A6" s="2" t="s">
        <v>634</v>
      </c>
      <c r="B6" s="2" t="s">
        <v>498</v>
      </c>
      <c r="C6" s="2" t="s">
        <v>45</v>
      </c>
      <c r="D6" s="2" t="s">
        <v>41</v>
      </c>
      <c r="E6" s="2" t="s">
        <v>16</v>
      </c>
      <c r="F6" s="2" t="s">
        <v>37</v>
      </c>
      <c r="G6" s="11" t="s">
        <v>727</v>
      </c>
      <c r="H6" s="2" t="n">
        <v>100</v>
      </c>
    </row>
    <row r="7" customFormat="false" ht="15" hidden="false" customHeight="false" outlineLevel="0" collapsed="false">
      <c r="A7" s="2" t="s">
        <v>688</v>
      </c>
      <c r="B7" s="2" t="s">
        <v>689</v>
      </c>
      <c r="C7" s="2" t="s">
        <v>40</v>
      </c>
      <c r="D7" s="2" t="s">
        <v>48</v>
      </c>
      <c r="E7" s="2" t="s">
        <v>16</v>
      </c>
      <c r="F7" s="2" t="s">
        <v>42</v>
      </c>
      <c r="G7" s="11" t="s">
        <v>728</v>
      </c>
      <c r="H7" s="2" t="n">
        <v>91</v>
      </c>
    </row>
    <row r="8" customFormat="false" ht="15" hidden="false" customHeight="false" outlineLevel="0" collapsed="false">
      <c r="A8" s="2" t="s">
        <v>340</v>
      </c>
      <c r="B8" s="2" t="s">
        <v>341</v>
      </c>
      <c r="C8" s="2" t="s">
        <v>54</v>
      </c>
      <c r="D8" s="2" t="s">
        <v>68</v>
      </c>
      <c r="E8" s="2" t="s">
        <v>16</v>
      </c>
      <c r="F8" s="2" t="s">
        <v>37</v>
      </c>
      <c r="G8" s="11" t="s">
        <v>729</v>
      </c>
      <c r="H8" s="2" t="n">
        <v>87</v>
      </c>
    </row>
    <row r="9" customFormat="false" ht="15" hidden="false" customHeight="false" outlineLevel="0" collapsed="false">
      <c r="A9" s="2" t="s">
        <v>353</v>
      </c>
      <c r="B9" s="2" t="s">
        <v>354</v>
      </c>
      <c r="C9" s="2" t="s">
        <v>54</v>
      </c>
      <c r="D9" s="2" t="s">
        <v>48</v>
      </c>
      <c r="E9" s="2" t="s">
        <v>16</v>
      </c>
      <c r="F9" s="2" t="s">
        <v>49</v>
      </c>
      <c r="G9" s="11" t="s">
        <v>729</v>
      </c>
      <c r="H9" s="2" t="n">
        <v>87</v>
      </c>
    </row>
    <row r="10" customFormat="false" ht="15" hidden="false" customHeight="false" outlineLevel="0" collapsed="false">
      <c r="A10" s="2" t="s">
        <v>644</v>
      </c>
      <c r="B10" s="2" t="s">
        <v>237</v>
      </c>
      <c r="C10" s="2" t="s">
        <v>54</v>
      </c>
      <c r="D10" s="2" t="s">
        <v>48</v>
      </c>
      <c r="E10" s="2" t="s">
        <v>16</v>
      </c>
      <c r="F10" s="2" t="s">
        <v>42</v>
      </c>
      <c r="G10" s="11" t="s">
        <v>730</v>
      </c>
      <c r="H10" s="2" t="n">
        <v>83</v>
      </c>
    </row>
    <row r="11" customFormat="false" ht="15" hidden="false" customHeight="false" outlineLevel="0" collapsed="false">
      <c r="A11" s="2" t="s">
        <v>407</v>
      </c>
      <c r="B11" s="2" t="s">
        <v>170</v>
      </c>
      <c r="C11" s="2" t="s">
        <v>40</v>
      </c>
      <c r="D11" s="2" t="s">
        <v>48</v>
      </c>
      <c r="E11" s="2" t="s">
        <v>16</v>
      </c>
      <c r="F11" s="2" t="s">
        <v>42</v>
      </c>
      <c r="G11" s="11" t="s">
        <v>731</v>
      </c>
      <c r="H11" s="2" t="n">
        <v>65</v>
      </c>
    </row>
    <row r="12" customFormat="false" ht="15" hidden="false" customHeight="false" outlineLevel="0" collapsed="false">
      <c r="A12" s="2" t="s">
        <v>446</v>
      </c>
      <c r="B12" s="2" t="s">
        <v>287</v>
      </c>
      <c r="C12" s="2" t="s">
        <v>45</v>
      </c>
      <c r="D12" s="2" t="s">
        <v>41</v>
      </c>
      <c r="E12" s="2" t="s">
        <v>16</v>
      </c>
      <c r="F12" s="2" t="s">
        <v>37</v>
      </c>
      <c r="G12" s="11" t="s">
        <v>732</v>
      </c>
      <c r="H12" s="2" t="n">
        <v>57</v>
      </c>
    </row>
    <row r="13" customFormat="false" ht="15" hidden="false" customHeight="false" outlineLevel="0" collapsed="false">
      <c r="A13" s="2" t="s">
        <v>513</v>
      </c>
      <c r="B13" s="2" t="s">
        <v>151</v>
      </c>
      <c r="C13" s="2" t="s">
        <v>45</v>
      </c>
      <c r="D13" s="2" t="s">
        <v>41</v>
      </c>
      <c r="E13" s="2" t="s">
        <v>16</v>
      </c>
      <c r="F13" s="2" t="s">
        <v>49</v>
      </c>
      <c r="G13" s="11" t="s">
        <v>733</v>
      </c>
      <c r="H13" s="2" t="n">
        <v>30</v>
      </c>
    </row>
    <row r="14" customFormat="false" ht="15" hidden="false" customHeight="false" outlineLevel="0" collapsed="false">
      <c r="A14" s="2" t="s">
        <v>348</v>
      </c>
      <c r="B14" s="2" t="s">
        <v>349</v>
      </c>
      <c r="C14" s="2" t="s">
        <v>40</v>
      </c>
      <c r="D14" s="2" t="s">
        <v>68</v>
      </c>
      <c r="E14" s="2" t="s">
        <v>16</v>
      </c>
      <c r="F14" s="2" t="s">
        <v>49</v>
      </c>
      <c r="G14" s="11" t="s">
        <v>734</v>
      </c>
      <c r="H14" s="2" t="n">
        <v>24</v>
      </c>
    </row>
    <row r="15" customFormat="false" ht="15" hidden="false" customHeight="false" outlineLevel="0" collapsed="false">
      <c r="A15" s="2" t="s">
        <v>390</v>
      </c>
      <c r="B15" s="2" t="s">
        <v>119</v>
      </c>
      <c r="C15" s="2" t="s">
        <v>58</v>
      </c>
      <c r="D15" s="2" t="s">
        <v>68</v>
      </c>
      <c r="E15" s="2" t="s">
        <v>16</v>
      </c>
      <c r="F15" s="2" t="s">
        <v>37</v>
      </c>
      <c r="G15" s="11" t="s">
        <v>735</v>
      </c>
      <c r="H15" s="2" t="n">
        <v>20</v>
      </c>
    </row>
    <row r="16" customFormat="false" ht="15" hidden="false" customHeight="false" outlineLevel="0" collapsed="false">
      <c r="A16" s="2" t="s">
        <v>317</v>
      </c>
      <c r="B16" s="2" t="s">
        <v>318</v>
      </c>
      <c r="C16" s="2" t="s">
        <v>54</v>
      </c>
      <c r="D16" s="2" t="s">
        <v>68</v>
      </c>
      <c r="E16" s="2" t="s">
        <v>16</v>
      </c>
      <c r="F16" s="2" t="s">
        <v>49</v>
      </c>
      <c r="G16" s="11" t="s">
        <v>736</v>
      </c>
      <c r="H16" s="2" t="n">
        <v>11</v>
      </c>
    </row>
    <row r="17" customFormat="false" ht="15" hidden="false" customHeight="false" outlineLevel="0" collapsed="false">
      <c r="A17" s="2" t="s">
        <v>131</v>
      </c>
      <c r="B17" s="2" t="s">
        <v>130</v>
      </c>
      <c r="C17" s="2" t="s">
        <v>45</v>
      </c>
      <c r="D17" s="2" t="s">
        <v>36</v>
      </c>
      <c r="E17" s="2" t="s">
        <v>16</v>
      </c>
      <c r="F17" s="2" t="s">
        <v>42</v>
      </c>
      <c r="G17" s="11" t="s">
        <v>737</v>
      </c>
      <c r="H17" s="2" t="n">
        <v>10</v>
      </c>
    </row>
    <row r="18" customFormat="false" ht="15" hidden="false" customHeight="false" outlineLevel="0" collapsed="false">
      <c r="A18" s="2" t="s">
        <v>672</v>
      </c>
      <c r="B18" s="2" t="s">
        <v>149</v>
      </c>
      <c r="C18" s="2" t="s">
        <v>45</v>
      </c>
      <c r="D18" s="2" t="s">
        <v>41</v>
      </c>
      <c r="E18" s="2" t="s">
        <v>16</v>
      </c>
      <c r="F18" s="2" t="s">
        <v>55</v>
      </c>
      <c r="G18" s="11" t="s">
        <v>738</v>
      </c>
      <c r="H18" s="2" t="n">
        <v>6</v>
      </c>
    </row>
    <row r="19" customFormat="false" ht="15" hidden="false" customHeight="false" outlineLevel="0" collapsed="false">
      <c r="A19" s="2" t="s">
        <v>610</v>
      </c>
      <c r="B19" s="2" t="s">
        <v>550</v>
      </c>
      <c r="C19" s="2" t="s">
        <v>58</v>
      </c>
      <c r="D19" s="2" t="s">
        <v>48</v>
      </c>
      <c r="E19" s="2" t="s">
        <v>15</v>
      </c>
      <c r="F19" s="2" t="s">
        <v>55</v>
      </c>
      <c r="G19" s="11" t="s">
        <v>739</v>
      </c>
      <c r="H19" s="2" t="n">
        <v>119</v>
      </c>
    </row>
    <row r="20" customFormat="false" ht="15" hidden="false" customHeight="false" outlineLevel="0" collapsed="false">
      <c r="A20" s="2" t="s">
        <v>420</v>
      </c>
      <c r="B20" s="2" t="s">
        <v>364</v>
      </c>
      <c r="C20" s="2" t="s">
        <v>40</v>
      </c>
      <c r="D20" s="2" t="s">
        <v>68</v>
      </c>
      <c r="E20" s="2" t="s">
        <v>15</v>
      </c>
      <c r="F20" s="2" t="s">
        <v>49</v>
      </c>
      <c r="G20" s="11" t="s">
        <v>740</v>
      </c>
      <c r="H20" s="2" t="n">
        <v>103</v>
      </c>
    </row>
    <row r="21" customFormat="false" ht="15" hidden="false" customHeight="false" outlineLevel="0" collapsed="false">
      <c r="A21" s="2" t="s">
        <v>620</v>
      </c>
      <c r="B21" s="2" t="s">
        <v>303</v>
      </c>
      <c r="C21" s="2" t="s">
        <v>45</v>
      </c>
      <c r="D21" s="2" t="s">
        <v>48</v>
      </c>
      <c r="E21" s="2" t="s">
        <v>15</v>
      </c>
      <c r="F21" s="2" t="s">
        <v>37</v>
      </c>
      <c r="G21" s="11" t="s">
        <v>741</v>
      </c>
      <c r="H21" s="2" t="n">
        <v>98</v>
      </c>
    </row>
    <row r="22" customFormat="false" ht="15" hidden="false" customHeight="false" outlineLevel="0" collapsed="false">
      <c r="A22" s="2" t="s">
        <v>126</v>
      </c>
      <c r="B22" s="2" t="s">
        <v>53</v>
      </c>
      <c r="C22" s="2" t="s">
        <v>35</v>
      </c>
      <c r="D22" s="2" t="s">
        <v>68</v>
      </c>
      <c r="E22" s="2" t="s">
        <v>15</v>
      </c>
      <c r="F22" s="2" t="s">
        <v>55</v>
      </c>
      <c r="G22" s="11" t="s">
        <v>742</v>
      </c>
      <c r="H22" s="2" t="n">
        <v>97</v>
      </c>
    </row>
    <row r="23" customFormat="false" ht="15" hidden="false" customHeight="false" outlineLevel="0" collapsed="false">
      <c r="A23" s="2" t="s">
        <v>361</v>
      </c>
      <c r="B23" s="2" t="s">
        <v>276</v>
      </c>
      <c r="C23" s="2" t="s">
        <v>40</v>
      </c>
      <c r="D23" s="2" t="s">
        <v>68</v>
      </c>
      <c r="E23" s="2" t="s">
        <v>15</v>
      </c>
      <c r="F23" s="2" t="s">
        <v>49</v>
      </c>
      <c r="G23" s="11" t="s">
        <v>743</v>
      </c>
      <c r="H23" s="2" t="n">
        <v>96</v>
      </c>
    </row>
    <row r="24" customFormat="false" ht="15" hidden="false" customHeight="false" outlineLevel="0" collapsed="false">
      <c r="A24" s="2" t="s">
        <v>203</v>
      </c>
      <c r="B24" s="2" t="s">
        <v>204</v>
      </c>
      <c r="C24" s="2" t="s">
        <v>45</v>
      </c>
      <c r="D24" s="2" t="s">
        <v>68</v>
      </c>
      <c r="E24" s="2" t="s">
        <v>15</v>
      </c>
      <c r="F24" s="2" t="s">
        <v>49</v>
      </c>
      <c r="G24" s="11" t="s">
        <v>723</v>
      </c>
      <c r="H24" s="2" t="n">
        <v>92</v>
      </c>
    </row>
    <row r="25" customFormat="false" ht="15" hidden="false" customHeight="false" outlineLevel="0" collapsed="false">
      <c r="A25" s="2" t="s">
        <v>687</v>
      </c>
      <c r="B25" s="2" t="s">
        <v>144</v>
      </c>
      <c r="C25" s="2" t="s">
        <v>54</v>
      </c>
      <c r="D25" s="2" t="s">
        <v>68</v>
      </c>
      <c r="E25" s="2" t="s">
        <v>15</v>
      </c>
      <c r="F25" s="2" t="s">
        <v>49</v>
      </c>
      <c r="G25" s="11" t="s">
        <v>744</v>
      </c>
      <c r="H25" s="2" t="n">
        <v>86</v>
      </c>
    </row>
    <row r="26" customFormat="false" ht="15" hidden="false" customHeight="false" outlineLevel="0" collapsed="false">
      <c r="A26" s="2" t="s">
        <v>693</v>
      </c>
      <c r="B26" s="2" t="s">
        <v>476</v>
      </c>
      <c r="C26" s="2" t="s">
        <v>45</v>
      </c>
      <c r="D26" s="2" t="s">
        <v>68</v>
      </c>
      <c r="E26" s="2" t="s">
        <v>15</v>
      </c>
      <c r="F26" s="2" t="s">
        <v>42</v>
      </c>
      <c r="G26" s="11" t="s">
        <v>745</v>
      </c>
      <c r="H26" s="2" t="n">
        <v>73</v>
      </c>
    </row>
    <row r="27" customFormat="false" ht="15" hidden="false" customHeight="false" outlineLevel="0" collapsed="false">
      <c r="A27" s="2" t="s">
        <v>707</v>
      </c>
      <c r="B27" s="2" t="s">
        <v>106</v>
      </c>
      <c r="C27" s="2" t="s">
        <v>54</v>
      </c>
      <c r="D27" s="2" t="s">
        <v>36</v>
      </c>
      <c r="E27" s="2" t="s">
        <v>15</v>
      </c>
      <c r="F27" s="2" t="s">
        <v>55</v>
      </c>
      <c r="G27" s="11" t="s">
        <v>746</v>
      </c>
      <c r="H27" s="2" t="n">
        <v>62</v>
      </c>
    </row>
    <row r="28" customFormat="false" ht="15" hidden="false" customHeight="false" outlineLevel="0" collapsed="false">
      <c r="A28" s="2" t="s">
        <v>195</v>
      </c>
      <c r="B28" s="2" t="s">
        <v>172</v>
      </c>
      <c r="C28" s="2" t="s">
        <v>58</v>
      </c>
      <c r="D28" s="2" t="s">
        <v>36</v>
      </c>
      <c r="E28" s="2" t="s">
        <v>15</v>
      </c>
      <c r="F28" s="2" t="s">
        <v>49</v>
      </c>
      <c r="G28" s="11" t="s">
        <v>747</v>
      </c>
      <c r="H28" s="2" t="n">
        <v>54</v>
      </c>
    </row>
    <row r="29" customFormat="false" ht="15" hidden="false" customHeight="false" outlineLevel="0" collapsed="false">
      <c r="A29" s="2" t="s">
        <v>703</v>
      </c>
      <c r="B29" s="2" t="s">
        <v>704</v>
      </c>
      <c r="C29" s="2" t="s">
        <v>45</v>
      </c>
      <c r="D29" s="2" t="s">
        <v>68</v>
      </c>
      <c r="E29" s="2" t="s">
        <v>15</v>
      </c>
      <c r="F29" s="2" t="s">
        <v>49</v>
      </c>
      <c r="G29" s="11" t="s">
        <v>748</v>
      </c>
      <c r="H29" s="2" t="n">
        <v>45</v>
      </c>
    </row>
    <row r="30" customFormat="false" ht="15" hidden="false" customHeight="false" outlineLevel="0" collapsed="false">
      <c r="A30" s="2" t="s">
        <v>458</v>
      </c>
      <c r="B30" s="2" t="s">
        <v>279</v>
      </c>
      <c r="C30" s="2" t="s">
        <v>54</v>
      </c>
      <c r="D30" s="2" t="s">
        <v>48</v>
      </c>
      <c r="E30" s="2" t="s">
        <v>15</v>
      </c>
      <c r="F30" s="2" t="s">
        <v>42</v>
      </c>
      <c r="G30" s="11" t="s">
        <v>749</v>
      </c>
      <c r="H30" s="2" t="n">
        <v>40</v>
      </c>
    </row>
    <row r="31" customFormat="false" ht="15" hidden="false" customHeight="false" outlineLevel="0" collapsed="false">
      <c r="A31" s="2" t="s">
        <v>664</v>
      </c>
      <c r="B31" s="2" t="s">
        <v>65</v>
      </c>
      <c r="C31" s="2" t="s">
        <v>45</v>
      </c>
      <c r="D31" s="2" t="s">
        <v>48</v>
      </c>
      <c r="E31" s="2" t="s">
        <v>15</v>
      </c>
      <c r="F31" s="2" t="s">
        <v>49</v>
      </c>
      <c r="G31" s="11" t="s">
        <v>750</v>
      </c>
      <c r="H31" s="2" t="n">
        <v>23</v>
      </c>
    </row>
    <row r="32" customFormat="false" ht="15" hidden="false" customHeight="false" outlineLevel="0" collapsed="false">
      <c r="A32" s="2" t="s">
        <v>83</v>
      </c>
      <c r="B32" s="2" t="s">
        <v>84</v>
      </c>
      <c r="C32" s="2" t="s">
        <v>54</v>
      </c>
      <c r="D32" s="2" t="s">
        <v>41</v>
      </c>
      <c r="E32" s="2" t="s">
        <v>15</v>
      </c>
      <c r="F32" s="2" t="s">
        <v>49</v>
      </c>
      <c r="G32" s="11" t="s">
        <v>751</v>
      </c>
      <c r="H32" s="2" t="n">
        <v>17</v>
      </c>
    </row>
    <row r="33" customFormat="false" ht="15" hidden="false" customHeight="false" outlineLevel="0" collapsed="false">
      <c r="A33" s="2" t="s">
        <v>316</v>
      </c>
      <c r="B33" s="2" t="s">
        <v>247</v>
      </c>
      <c r="C33" s="2" t="s">
        <v>45</v>
      </c>
      <c r="D33" s="2" t="s">
        <v>68</v>
      </c>
      <c r="E33" s="2" t="s">
        <v>15</v>
      </c>
      <c r="F33" s="2" t="s">
        <v>37</v>
      </c>
      <c r="G33" s="11" t="s">
        <v>752</v>
      </c>
      <c r="H33" s="2" t="n">
        <v>14</v>
      </c>
    </row>
    <row r="34" customFormat="false" ht="15" hidden="false" customHeight="false" outlineLevel="0" collapsed="false">
      <c r="A34" s="2" t="s">
        <v>331</v>
      </c>
      <c r="B34" s="2" t="s">
        <v>161</v>
      </c>
      <c r="C34" s="2" t="s">
        <v>54</v>
      </c>
      <c r="D34" s="2" t="s">
        <v>68</v>
      </c>
      <c r="E34" s="2" t="s">
        <v>15</v>
      </c>
      <c r="F34" s="2" t="s">
        <v>55</v>
      </c>
      <c r="G34" s="11" t="s">
        <v>753</v>
      </c>
      <c r="H34" s="2" t="n">
        <v>13</v>
      </c>
    </row>
    <row r="35" customFormat="false" ht="15" hidden="false" customHeight="false" outlineLevel="0" collapsed="false">
      <c r="A35" s="2" t="s">
        <v>198</v>
      </c>
      <c r="B35" s="2" t="s">
        <v>67</v>
      </c>
      <c r="C35" s="2" t="s">
        <v>58</v>
      </c>
      <c r="D35" s="2" t="s">
        <v>68</v>
      </c>
      <c r="E35" s="2" t="s">
        <v>15</v>
      </c>
      <c r="F35" s="2" t="s">
        <v>49</v>
      </c>
      <c r="G35" s="11" t="s">
        <v>726</v>
      </c>
      <c r="H35" s="2" t="n">
        <v>9</v>
      </c>
    </row>
    <row r="36" customFormat="false" ht="15" hidden="false" customHeight="false" outlineLevel="0" collapsed="false">
      <c r="A36" s="2" t="s">
        <v>300</v>
      </c>
      <c r="B36" s="2" t="s">
        <v>154</v>
      </c>
      <c r="C36" s="2" t="s">
        <v>40</v>
      </c>
      <c r="D36" s="2" t="s">
        <v>41</v>
      </c>
      <c r="E36" s="2" t="s">
        <v>15</v>
      </c>
      <c r="F36" s="2" t="s">
        <v>55</v>
      </c>
      <c r="G36" s="11" t="s">
        <v>726</v>
      </c>
      <c r="H36" s="2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</cols>
  <sheetData>
    <row r="1" customFormat="false" ht="15" hidden="false" customHeight="false" outlineLevel="0" collapsed="false">
      <c r="A1" s="9" t="s">
        <v>23</v>
      </c>
      <c r="B1" s="9" t="s">
        <v>754</v>
      </c>
    </row>
    <row r="2" customFormat="false" ht="15" hidden="false" customHeight="false" outlineLevel="0" collapsed="false">
      <c r="A2" s="2" t="s">
        <v>59</v>
      </c>
      <c r="B2" s="2" t="s">
        <v>755</v>
      </c>
    </row>
    <row r="3" customFormat="false" ht="15" hidden="false" customHeight="false" outlineLevel="0" collapsed="false">
      <c r="A3" s="2" t="s">
        <v>50</v>
      </c>
      <c r="B3" s="2" t="s">
        <v>755</v>
      </c>
    </row>
    <row r="4" customFormat="false" ht="15" hidden="false" customHeight="false" outlineLevel="0" collapsed="false">
      <c r="A4" s="2" t="s">
        <v>93</v>
      </c>
      <c r="B4" s="2" t="s">
        <v>755</v>
      </c>
    </row>
    <row r="5" customFormat="false" ht="15" hidden="false" customHeight="false" outlineLevel="0" collapsed="false">
      <c r="A5" s="2" t="s">
        <v>153</v>
      </c>
      <c r="B5" s="2" t="s">
        <v>755</v>
      </c>
    </row>
    <row r="6" customFormat="false" ht="15" hidden="false" customHeight="false" outlineLevel="0" collapsed="false">
      <c r="A6" s="2" t="s">
        <v>122</v>
      </c>
      <c r="B6" s="2" t="s">
        <v>755</v>
      </c>
    </row>
    <row r="7" customFormat="false" ht="15" hidden="false" customHeight="false" outlineLevel="0" collapsed="false">
      <c r="A7" s="2" t="s">
        <v>71</v>
      </c>
      <c r="B7" s="2" t="s">
        <v>755</v>
      </c>
    </row>
    <row r="8" customFormat="false" ht="15" hidden="false" customHeight="false" outlineLevel="0" collapsed="false">
      <c r="A8" s="2" t="s">
        <v>207</v>
      </c>
      <c r="B8" s="2" t="s">
        <v>755</v>
      </c>
    </row>
    <row r="9" customFormat="false" ht="15" hidden="false" customHeight="false" outlineLevel="0" collapsed="false">
      <c r="A9" s="2" t="s">
        <v>326</v>
      </c>
      <c r="B9" s="2" t="s">
        <v>755</v>
      </c>
    </row>
    <row r="10" customFormat="false" ht="15" hidden="false" customHeight="false" outlineLevel="0" collapsed="false">
      <c r="A10" s="2" t="s">
        <v>407</v>
      </c>
      <c r="B10" s="2" t="s">
        <v>755</v>
      </c>
    </row>
    <row r="11" customFormat="false" ht="15" hidden="false" customHeight="false" outlineLevel="0" collapsed="false">
      <c r="A11" s="2" t="s">
        <v>189</v>
      </c>
      <c r="B11" s="2" t="s">
        <v>755</v>
      </c>
    </row>
    <row r="12" customFormat="false" ht="15" hidden="false" customHeight="false" outlineLevel="0" collapsed="false">
      <c r="A12" s="2" t="s">
        <v>350</v>
      </c>
      <c r="B12" s="2" t="s">
        <v>755</v>
      </c>
    </row>
    <row r="13" customFormat="false" ht="15" hidden="false" customHeight="false" outlineLevel="0" collapsed="false">
      <c r="A13" s="2" t="s">
        <v>174</v>
      </c>
      <c r="B13" s="2" t="s">
        <v>755</v>
      </c>
    </row>
    <row r="14" customFormat="false" ht="15" hidden="false" customHeight="false" outlineLevel="0" collapsed="false">
      <c r="A14" s="2" t="s">
        <v>120</v>
      </c>
      <c r="B14" s="2" t="s">
        <v>755</v>
      </c>
    </row>
    <row r="15" customFormat="false" ht="15" hidden="false" customHeight="false" outlineLevel="0" collapsed="false">
      <c r="A15" s="2" t="s">
        <v>441</v>
      </c>
      <c r="B15" s="2" t="s">
        <v>755</v>
      </c>
    </row>
    <row r="16" customFormat="false" ht="15" hidden="false" customHeight="false" outlineLevel="0" collapsed="false">
      <c r="A16" s="2" t="s">
        <v>415</v>
      </c>
      <c r="B16" s="2" t="s">
        <v>755</v>
      </c>
    </row>
    <row r="17" customFormat="false" ht="15" hidden="false" customHeight="false" outlineLevel="0" collapsed="false">
      <c r="A17" s="2" t="s">
        <v>756</v>
      </c>
      <c r="B17" s="2" t="s">
        <v>757</v>
      </c>
    </row>
    <row r="18" customFormat="false" ht="15" hidden="false" customHeight="false" outlineLevel="0" collapsed="false">
      <c r="A18" s="2" t="s">
        <v>758</v>
      </c>
      <c r="B18" s="2" t="s">
        <v>757</v>
      </c>
    </row>
    <row r="19" customFormat="false" ht="15" hidden="false" customHeight="false" outlineLevel="0" collapsed="false">
      <c r="A19" s="2" t="s">
        <v>759</v>
      </c>
      <c r="B19" s="2" t="s">
        <v>757</v>
      </c>
    </row>
    <row r="20" customFormat="false" ht="15" hidden="false" customHeight="false" outlineLevel="0" collapsed="false">
      <c r="A20" s="2" t="s">
        <v>760</v>
      </c>
      <c r="B20" s="2" t="s">
        <v>757</v>
      </c>
    </row>
    <row r="21" customFormat="false" ht="15" hidden="false" customHeight="false" outlineLevel="0" collapsed="false">
      <c r="A21" s="2" t="s">
        <v>761</v>
      </c>
      <c r="B21" s="2" t="s">
        <v>757</v>
      </c>
    </row>
    <row r="22" customFormat="false" ht="15" hidden="false" customHeight="false" outlineLevel="0" collapsed="false">
      <c r="A22" s="2" t="s">
        <v>762</v>
      </c>
      <c r="B22" s="2" t="s">
        <v>757</v>
      </c>
    </row>
    <row r="23" customFormat="false" ht="15" hidden="false" customHeight="false" outlineLevel="0" collapsed="false">
      <c r="A23" s="2" t="s">
        <v>763</v>
      </c>
      <c r="B23" s="2" t="s">
        <v>757</v>
      </c>
    </row>
    <row r="24" customFormat="false" ht="15" hidden="false" customHeight="false" outlineLevel="0" collapsed="false">
      <c r="A24" s="2" t="s">
        <v>764</v>
      </c>
      <c r="B24" s="2" t="s">
        <v>757</v>
      </c>
    </row>
    <row r="25" customFormat="false" ht="15" hidden="false" customHeight="false" outlineLevel="0" collapsed="false">
      <c r="A25" s="2" t="s">
        <v>765</v>
      </c>
      <c r="B25" s="2" t="s">
        <v>757</v>
      </c>
    </row>
    <row r="26" customFormat="false" ht="15" hidden="false" customHeight="false" outlineLevel="0" collapsed="false">
      <c r="A26" s="2" t="s">
        <v>766</v>
      </c>
      <c r="B26" s="2" t="s">
        <v>757</v>
      </c>
    </row>
    <row r="27" customFormat="false" ht="15" hidden="false" customHeight="false" outlineLevel="0" collapsed="false">
      <c r="A27" s="2" t="s">
        <v>767</v>
      </c>
      <c r="B27" s="2" t="s">
        <v>768</v>
      </c>
    </row>
    <row r="28" customFormat="false" ht="15" hidden="false" customHeight="false" outlineLevel="0" collapsed="false">
      <c r="A28" s="2" t="s">
        <v>769</v>
      </c>
      <c r="B28" s="2" t="s">
        <v>768</v>
      </c>
    </row>
    <row r="29" customFormat="false" ht="15" hidden="false" customHeight="false" outlineLevel="0" collapsed="false">
      <c r="A29" s="2" t="s">
        <v>770</v>
      </c>
      <c r="B29" s="2" t="s">
        <v>768</v>
      </c>
    </row>
    <row r="30" customFormat="false" ht="15" hidden="false" customHeight="false" outlineLevel="0" collapsed="false">
      <c r="A30" s="2" t="s">
        <v>771</v>
      </c>
      <c r="B30" s="2" t="s">
        <v>768</v>
      </c>
    </row>
    <row r="31" customFormat="false" ht="15" hidden="false" customHeight="false" outlineLevel="0" collapsed="false">
      <c r="A31" s="2" t="s">
        <v>772</v>
      </c>
      <c r="B31" s="2" t="s">
        <v>768</v>
      </c>
    </row>
    <row r="32" customFormat="false" ht="15" hidden="false" customHeight="false" outlineLevel="0" collapsed="false">
      <c r="A32" s="2" t="s">
        <v>773</v>
      </c>
      <c r="B32" s="2" t="s">
        <v>768</v>
      </c>
    </row>
    <row r="33" customFormat="false" ht="15" hidden="false" customHeight="false" outlineLevel="0" collapsed="false">
      <c r="A33" s="2" t="s">
        <v>774</v>
      </c>
      <c r="B33" s="2" t="s">
        <v>768</v>
      </c>
    </row>
    <row r="34" customFormat="false" ht="15" hidden="false" customHeight="false" outlineLevel="0" collapsed="false">
      <c r="A34" s="2" t="s">
        <v>775</v>
      </c>
      <c r="B34" s="2" t="s">
        <v>768</v>
      </c>
    </row>
    <row r="35" customFormat="false" ht="15" hidden="false" customHeight="false" outlineLevel="0" collapsed="false">
      <c r="A35" s="2" t="s">
        <v>776</v>
      </c>
      <c r="B35" s="2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2026-10-27T14:55:23Z</dcterms:created>
  <dc:creator>openpyxl</dc:creator>
  <dc:description/>
  <dc:language>en-US</dc:language>
  <cp:lastModifiedBy/>
  <dcterms:modified xsi:type="dcterms:W3CDTF">2026-10-27T14:55:36Z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